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표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지적사항" sheetId="9" state="visible" r:id="rId9"/>
    <sheet xmlns:r="http://schemas.openxmlformats.org/officeDocument/2006/relationships" name="서술검산" sheetId="10" state="visible" r:id="rId10"/>
    <sheet xmlns:r="http://schemas.openxmlformats.org/officeDocument/2006/relationships" name="숫자대사" sheetId="11" state="visible" r:id="rId11"/>
    <sheet xmlns:r="http://schemas.openxmlformats.org/officeDocument/2006/relationships" name="검증완료" sheetId="12" state="visible" r:id="rId12"/>
  </sheets>
  <definedNames>
    <definedName name="_xlnm._FilterDatabase" localSheetId="8" hidden="1">'지적사항'!$A$3:$G$13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"/>
    <numFmt numFmtId="166" formatCode="0.000000"/>
  </numFmts>
  <fonts count="10">
    <font>
      <name val="Calibri"/>
      <family val="2"/>
      <color theme="1"/>
      <sz val="11"/>
      <scheme val="minor"/>
    </font>
    <font>
      <name val="맑은 고딕"/>
      <b val="1"/>
      <color rgb="00002060"/>
      <sz val="12"/>
    </font>
    <font>
      <name val="맑은 고딕"/>
      <color rgb="000563C1"/>
      <sz val="9"/>
    </font>
    <font>
      <name val="맑은 고딕"/>
      <sz val="9"/>
    </font>
    <font>
      <name val="맑은 고딕"/>
      <b val="1"/>
      <color rgb="00002060"/>
      <sz val="9"/>
    </font>
    <font>
      <name val="맑은 고딕"/>
      <b val="1"/>
      <sz val="9"/>
    </font>
    <font>
      <name val="맑은 고딕"/>
      <b val="1"/>
      <color rgb="00002060"/>
      <sz val="14"/>
    </font>
    <font>
      <name val="맑은 고딕"/>
      <sz val="8"/>
    </font>
    <font>
      <name val="맑은 고딕"/>
      <b val="1"/>
      <color rgb="00002060"/>
      <sz val="10"/>
    </font>
    <font>
      <name val="맑은 고딕"/>
      <b val="1"/>
      <sz val="10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2" fillId="0" borderId="1" pivotButton="0" quotePrefix="0" xfId="0"/>
    <xf numFmtId="164" fontId="3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vertical="center"/>
    </xf>
    <xf numFmtId="164" fontId="5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164" fontId="3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165" fontId="3" fillId="0" borderId="1" pivotButton="0" quotePrefix="0" xfId="0"/>
    <xf numFmtId="164" fontId="3" fillId="0" borderId="1" pivotButton="0" quotePrefix="0" xfId="0"/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 wrapText="1"/>
    </xf>
    <xf numFmtId="3" fontId="3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3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40" customWidth="1" min="3" max="3"/>
    <col width="14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</cols>
  <sheetData>
    <row r="2">
      <c r="B2" s="1" t="inlineStr">
        <is>
          <t>FDD보고서_한결식품(가상)_draft 풋팅 검증 워크북</t>
        </is>
      </c>
    </row>
    <row r="3">
      <c r="B3" s="2" t="inlineStr">
        <is>
          <t>FDD보고서_한결식품(가상)_draft.pptx</t>
        </is>
      </c>
    </row>
    <row r="4">
      <c r="B4" s="2" t="inlineStr">
        <is>
          <t>검증 대상:  / 주석 7개</t>
        </is>
      </c>
    </row>
    <row r="6">
      <c r="B6" s="3" t="inlineStr">
        <is>
          <t>시트</t>
        </is>
      </c>
      <c r="C6" s="3" t="inlineStr">
        <is>
          <t>제        목</t>
        </is>
      </c>
      <c r="D6" s="3" t="inlineStr">
        <is>
          <t>링크</t>
        </is>
      </c>
      <c r="E6" s="3" t="inlineStr">
        <is>
          <t>푸팅 오류</t>
        </is>
      </c>
      <c r="F6" s="3" t="inlineStr">
        <is>
          <t>산식 오류</t>
        </is>
      </c>
      <c r="G6" s="3" t="inlineStr">
        <is>
          <t>크로스 오류</t>
        </is>
      </c>
      <c r="H6" s="3" t="inlineStr">
        <is>
          <t>조서 차이</t>
        </is>
      </c>
      <c r="I6" s="3" t="inlineStr">
        <is>
          <t>전기 차이</t>
        </is>
      </c>
      <c r="J6" s="3" t="inlineStr">
        <is>
          <t>구조 미인식</t>
        </is>
      </c>
      <c r="K6" s="3" t="inlineStr">
        <is>
          <t>조서 미매칭</t>
        </is>
      </c>
    </row>
    <row r="7">
      <c r="B7" s="4" t="inlineStr">
        <is>
          <t>S1</t>
        </is>
      </c>
      <c r="C7" s="5" t="inlineStr">
        <is>
          <t>S1. 재무실사 보고서 (Draft)</t>
        </is>
      </c>
      <c r="D7" s="6">
        <f>HYPERLINK("#'S1'!A1","바로가기")</f>
        <v/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</row>
    <row r="8">
      <c r="B8" s="4" t="inlineStr">
        <is>
          <t>S2</t>
        </is>
      </c>
      <c r="C8" s="5" t="inlineStr">
        <is>
          <t>S2. 1. 요약 (Executive Summary)</t>
        </is>
      </c>
      <c r="D8" s="6">
        <f>HYPERLINK("#'S2'!A1","바로가기")</f>
        <v/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</row>
    <row r="9">
      <c r="B9" s="4" t="inlineStr">
        <is>
          <t>S3</t>
        </is>
      </c>
      <c r="C9" s="5" t="inlineStr">
        <is>
          <t>S3. 2. 요약 손익</t>
        </is>
      </c>
      <c r="D9" s="6">
        <f>HYPERLINK("#'S3'!A1","바로가기")</f>
        <v/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>
      <c r="B10" s="4" t="inlineStr">
        <is>
          <t>S4</t>
        </is>
      </c>
      <c r="C10" s="5" t="inlineStr">
        <is>
          <t>S4. 3. 이익의 질 (조정 EBITDA)</t>
        </is>
      </c>
      <c r="D10" s="6">
        <f>HYPERLINK("#'S4'!A1","바로가기")</f>
        <v/>
      </c>
      <c r="E10" s="7" t="n">
        <v>0</v>
      </c>
      <c r="F10" s="7" t="n">
        <v>0</v>
      </c>
      <c r="G10" s="7">
        <f>SUMPRODUCT(--ISNUMBER('S4'!B18:B19))</f>
        <v/>
      </c>
      <c r="H10" s="7" t="n">
        <v>0</v>
      </c>
      <c r="I10" s="7" t="n">
        <v>0</v>
      </c>
      <c r="J10" s="7" t="n">
        <v>0</v>
      </c>
      <c r="K10" s="7" t="n">
        <v>0</v>
      </c>
    </row>
    <row r="11">
      <c r="B11" s="4" t="inlineStr">
        <is>
          <t>S5</t>
        </is>
      </c>
      <c r="C11" s="5" t="inlineStr">
        <is>
          <t>S5. 4. 순운전자본</t>
        </is>
      </c>
      <c r="D11" s="6">
        <f>HYPERLINK("#'S5'!A1","바로가기")</f>
        <v/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>
      <c r="B12" s="4" t="inlineStr">
        <is>
          <t>S6</t>
        </is>
      </c>
      <c r="C12" s="5" t="inlineStr">
        <is>
          <t>S6. 5. 순차입금 (2025년 12월 31일 현재)</t>
        </is>
      </c>
      <c r="D12" s="6">
        <f>HYPERLINK("#'S6'!A1","바로가기")</f>
        <v/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>
      <c r="B13" s="4" t="inlineStr">
        <is>
          <t>S7</t>
        </is>
      </c>
      <c r="C13" s="5" t="inlineStr">
        <is>
          <t>S7. 6. 매출처별 매출 (FY2025)</t>
        </is>
      </c>
      <c r="D13" s="6">
        <f>HYPERLINK("#'S7'!A1","바로가기")</f>
        <v/>
      </c>
      <c r="E13" s="7">
        <f>SUMPRODUCT(--ISNUMBER('S7'!B12:B12))+SUMPRODUCT(--ISNUMBER('S7'!C12:C12))</f>
        <v/>
      </c>
      <c r="F13" s="7" t="n">
        <v>0</v>
      </c>
      <c r="G13" s="7">
        <f>SUMPRODUCT(--ISNUMBER('S7'!B18:B18))</f>
        <v/>
      </c>
      <c r="H13" s="7" t="n">
        <v>0</v>
      </c>
      <c r="I13" s="7" t="n">
        <v>0</v>
      </c>
      <c r="J13" s="7" t="n">
        <v>0</v>
      </c>
      <c r="K13" s="7" t="n">
        <v>0</v>
      </c>
    </row>
    <row r="14">
      <c r="B14" s="4" t="inlineStr">
        <is>
          <t>서술검산</t>
        </is>
      </c>
      <c r="C14" s="5" t="inlineStr">
        <is>
          <t>서술 검산 (본문 수치 재계산)</t>
        </is>
      </c>
      <c r="D14" s="6">
        <f>HYPERLINK("#'서술검산'!A1","바로가기")</f>
        <v/>
      </c>
      <c r="E14" s="7" t="n">
        <v>0</v>
      </c>
      <c r="F14" s="7" t="n">
        <v>0</v>
      </c>
      <c r="G14" s="7">
        <f>SUMPRODUCT(--ISNUMBER('서술검산'!H4:H9))</f>
        <v/>
      </c>
      <c r="H14" s="7" t="n">
        <v>0</v>
      </c>
      <c r="I14" s="7" t="n">
        <v>0</v>
      </c>
      <c r="J14" s="7" t="n">
        <v>0</v>
      </c>
      <c r="K14" s="7" t="n">
        <v>0</v>
      </c>
    </row>
    <row r="15">
      <c r="C15" s="8" t="inlineStr">
        <is>
          <t>합        계</t>
        </is>
      </c>
      <c r="E15" s="9">
        <f>SUM(E7:E14)</f>
        <v/>
      </c>
      <c r="F15" s="9">
        <f>SUM(F7:F14)</f>
        <v/>
      </c>
      <c r="G15" s="9">
        <f>SUM(G7:G14)</f>
        <v/>
      </c>
      <c r="H15" s="9">
        <f>SUM(H7:H14)</f>
        <v/>
      </c>
      <c r="I15" s="9">
        <f>SUM(I7:I14)</f>
        <v/>
      </c>
      <c r="J15" s="9">
        <f>SUM(J7:J14)</f>
        <v/>
      </c>
      <c r="K15" s="9">
        <f>SUM(K7:K14)</f>
        <v/>
      </c>
    </row>
    <row r="17">
      <c r="B17" s="10" t="inlineStr">
        <is>
          <t>지적사항</t>
        </is>
      </c>
    </row>
    <row r="18">
      <c r="B18" s="11" t="inlineStr">
        <is>
          <t>S</t>
        </is>
      </c>
      <c r="C18" s="5" t="inlineStr">
        <is>
          <t>발행 전 필수 수정</t>
        </is>
      </c>
      <c r="D18" s="7" t="n">
        <v>5</v>
      </c>
    </row>
    <row r="19">
      <c r="B19" s="11" t="inlineStr">
        <is>
          <t>A</t>
        </is>
      </c>
      <c r="C19" s="5" t="inlineStr">
        <is>
          <t>내용 보강·확인</t>
        </is>
      </c>
      <c r="D19" s="7" t="n">
        <v>2</v>
      </c>
    </row>
    <row r="20">
      <c r="B20" s="11" t="inlineStr">
        <is>
          <t>B</t>
        </is>
      </c>
      <c r="C20" s="5" t="inlineStr">
        <is>
          <t>표 형식</t>
        </is>
      </c>
      <c r="D20" s="7" t="n">
        <v>1</v>
      </c>
    </row>
    <row r="21">
      <c r="B21" s="11" t="inlineStr">
        <is>
          <t>C</t>
        </is>
      </c>
      <c r="C21" s="5" t="inlineStr">
        <is>
          <t>문구·오타</t>
        </is>
      </c>
      <c r="D21" s="7" t="n">
        <v>2</v>
      </c>
    </row>
    <row r="23">
      <c r="B23" s="10" t="inlineStr">
        <is>
          <t>핵심 결론</t>
        </is>
      </c>
    </row>
    <row r="24" ht="64" customHeight="1">
      <c r="B24" s="12" t="inlineStr">
        <is>
          <t>보고서 수치 72개 중 68개는 조서에서 근거를 찾았고 4개가 미매칭이다. 미매칭 중 2개(매출 24,650·조정 EBITDA 2,900)는 조서 값과 다른 오류이고, 비중 2개(40.0%·20.0%)는 재계산으로 확인됐다.
조서에만 있고 보고서에 없는 수치 4건(순차입금 3,450·순운전자본 3,210·조정 EBITDA 2,920·리스부채 1,240)이 모두 지적으로 이어졌다 — 보고서가 조용히 넘어간 숫자가 핵심 지적이다.
요약 슬라이드의 결론 4문장 중 3문장(성장률·순차입금·거래처 특이사항 없음)이 숫자나 조서로 뒷받침되지 않는다. 발행 전 S급 5건을 먼저 고쳐야 한다.</t>
        </is>
      </c>
    </row>
    <row r="26">
      <c r="B26" s="13" t="inlineStr">
        <is>
          <t>※ 검증셀은 IF(ABS(차이)&lt;허용오차, TRUE, 차이). 숫자가 보이면 오류이며 위 표는 그 개수를 센다.</t>
        </is>
      </c>
    </row>
    <row r="27">
      <c r="B27" s="13" t="inlineStr">
        <is>
          <t>※ 보고서에 적힌 합계는 값으로 그대로 두고, 검증셀이 Σ항목과 비교한다.</t>
        </is>
      </c>
    </row>
    <row r="28">
      <c r="B28" s="13" t="inlineStr">
        <is>
          <t>※ 크로스 참조 중 천원 표 ↔ 원 단위 본문은 단수차이를 고려해 ±5,000원을 기본 허용오차로 둔다.</t>
        </is>
      </c>
    </row>
    <row r="29">
      <c r="B29" s="13" t="inlineStr">
        <is>
          <t>※ '구조 미인식'은 계층·표준 산식으로 검증하지 못한 소계 수다. 04_structure.json 의 rules 로 정의한다.</t>
        </is>
      </c>
    </row>
    <row r="30">
      <c r="B30" s="13" t="inlineStr">
        <is>
          <t>※ '조서 차이'는 04_structure.json 의 wp 매핑이 있을 때만 채워진다.</t>
        </is>
      </c>
    </row>
    <row r="31">
      <c r="B31" s="13" t="inlineStr">
        <is>
          <t>※ 천원 등 반올림 단위 표의 허용오차는 기본 ±1 (tol_rounded=1.5). 원 단위는 ±0 (tol=0.5).</t>
        </is>
      </c>
    </row>
    <row r="32">
      <c r="B32" s="13" t="inlineStr">
        <is>
          <t>※ 주석 표 합계는 Σ행 · 직전소계+Σ행 · Σ소계 · 소계−소계 중 맞아떨어지는 해석을 골라 수식으로 남기고, 어느 해석인지 검증행에 적는다.</t>
        </is>
      </c>
    </row>
    <row r="33">
      <c r="B33" s="13" t="inlineStr">
        <is>
          <t>※ 비율·일수·단가 열은 합산 검증에서 제외한다.</t>
        </is>
      </c>
    </row>
  </sheetData>
  <mergeCells count="1">
    <mergeCell ref="B24:K24"/>
  </mergeCells>
  <conditionalFormatting sqref="E7:I15">
    <cfRule type="expression" priority="1" dxfId="0">
      <formula>E7&gt;0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4" t="inlineStr">
        <is>
          <t>S1. 재무실사 보고서 (Draft)</t>
        </is>
      </c>
      <c r="J1" s="15">
        <f>HYPERLINK("#총괄표!A1","◀ 총괄표")</f>
        <v/>
      </c>
    </row>
    <row r="3">
      <c r="A3" s="2" t="inlineStr">
        <is>
          <t>재무실사 보고서 (Draft)</t>
        </is>
      </c>
    </row>
    <row r="4">
      <c r="A4" s="2" t="inlineStr">
        <is>
          <t>㈜한결식품(가상)</t>
        </is>
      </c>
    </row>
    <row r="5">
      <c r="A5" s="2" t="inlineStr">
        <is>
          <t>실사 기준일: 2026년 6월 30일</t>
        </is>
      </c>
    </row>
    <row r="6">
      <c r="A6" s="2" t="inlineStr">
        <is>
          <t>실사 대상기간: FY2023 ~ 2026년 상반기</t>
        </is>
      </c>
    </row>
    <row r="7">
      <c r="A7" s="2" t="inlineStr">
        <is>
          <t>본 자료의 회사·숫자는 풋팅 스킬 예시를 위해 지어낸 것입니다.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4" t="inlineStr">
        <is>
          <t>S2. 1. 요약 (Executive Summary)</t>
        </is>
      </c>
      <c r="J1" s="15">
        <f>HYPERLINK("#총괄표!A1","◀ 총괄표")</f>
        <v/>
      </c>
    </row>
    <row r="3">
      <c r="A3" s="2" t="inlineStr">
        <is>
          <t>1. 요약 (Executive Summary)</t>
        </is>
      </c>
    </row>
    <row r="4">
      <c r="A4" s="2" t="inlineStr">
        <is>
          <t>• FY2025 매출은 전년 대비 17.2% 성장한 24,560백만원이며, 조정 EBITDA 는 3,010백만원입니다.</t>
        </is>
      </c>
    </row>
    <row r="5">
      <c r="A5" s="2" t="inlineStr">
        <is>
          <t>• 주요 거래처(A유통·B마트·C식자재) 매출 인식에 특이사항은 없습니다.</t>
        </is>
      </c>
    </row>
    <row r="6">
      <c r="A6" s="2" t="inlineStr">
        <is>
          <t>• 실사 기준일 현재 리스부채 포함 순차입금은 2,210백만원입니다.</t>
        </is>
      </c>
    </row>
    <row r="7">
      <c r="A7" s="2" t="inlineStr">
        <is>
          <t>• 순운전 자본은 매출 증가에 따라 FY2023 2,520백만원에서 FY2025 3,120백만원으로 증가했습니다.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4" t="inlineStr">
        <is>
          <t>S3. 2. 요약 손익</t>
        </is>
      </c>
      <c r="J1" s="15">
        <f>HYPERLINK("#총괄표!A1","◀ 총괄표")</f>
        <v/>
      </c>
    </row>
    <row r="3">
      <c r="A3" s="2" t="inlineStr">
        <is>
          <t>2. 요약 손익</t>
        </is>
      </c>
    </row>
    <row r="4">
      <c r="A4" s="2" t="inlineStr">
        <is>
          <t>(단위: 백만원)</t>
        </is>
      </c>
    </row>
    <row r="5">
      <c r="B5" s="2" t="inlineStr">
        <is>
          <t>(단위: 백만원)</t>
        </is>
      </c>
    </row>
    <row r="6">
      <c r="A6" s="3" t="inlineStr">
        <is>
          <t>구분</t>
        </is>
      </c>
      <c r="B6" s="3" t="inlineStr">
        <is>
          <t>FY2023</t>
        </is>
      </c>
      <c r="C6" s="3" t="inlineStr">
        <is>
          <t>FY2024</t>
        </is>
      </c>
      <c r="D6" s="3" t="inlineStr">
        <is>
          <t>FY2025</t>
        </is>
      </c>
      <c r="E6" s="3" t="inlineStr">
        <is>
          <t>2026 1H</t>
        </is>
      </c>
    </row>
    <row r="7">
      <c r="A7" s="5" t="inlineStr">
        <is>
          <t>매출</t>
        </is>
      </c>
      <c r="B7" s="7" t="n">
        <v>18420</v>
      </c>
      <c r="C7" s="7" t="n">
        <v>21350</v>
      </c>
      <c r="D7" s="7" t="n">
        <v>24650</v>
      </c>
      <c r="E7" s="7" t="n">
        <v>12980</v>
      </c>
    </row>
    <row r="8">
      <c r="A8" s="5" t="inlineStr">
        <is>
          <t>매출원가</t>
        </is>
      </c>
      <c r="B8" s="7" t="n">
        <v>12890</v>
      </c>
      <c r="C8" s="7" t="n">
        <v>14730</v>
      </c>
      <c r="D8" s="7" t="n">
        <v>16920</v>
      </c>
      <c r="E8" s="7" t="n">
        <v>8950</v>
      </c>
    </row>
    <row r="9">
      <c r="A9" s="5" t="inlineStr">
        <is>
          <t>매출 총이익</t>
        </is>
      </c>
      <c r="B9" s="7" t="n">
        <v>5530</v>
      </c>
      <c r="C9" s="7" t="n">
        <v>6620</v>
      </c>
      <c r="D9" s="7" t="n">
        <v>7640</v>
      </c>
      <c r="E9" s="7" t="n">
        <v>4030</v>
      </c>
    </row>
    <row r="10">
      <c r="A10" s="5" t="inlineStr">
        <is>
          <t>판매비와관리비</t>
        </is>
      </c>
      <c r="B10" s="7" t="n">
        <v>3980</v>
      </c>
      <c r="C10" s="7" t="n">
        <v>4510</v>
      </c>
      <c r="D10" s="7" t="n">
        <v>5120</v>
      </c>
      <c r="E10" s="7" t="n">
        <v>2760</v>
      </c>
    </row>
    <row r="11">
      <c r="A11" s="5" t="inlineStr">
        <is>
          <t>영업이익</t>
        </is>
      </c>
      <c r="B11" s="7" t="n">
        <v>1550</v>
      </c>
      <c r="C11" s="7" t="n">
        <v>2110</v>
      </c>
      <c r="D11" s="7" t="n">
        <v>2520</v>
      </c>
      <c r="E11" s="7" t="n">
        <v>1270</v>
      </c>
    </row>
    <row r="12">
      <c r="A12" s="5" t="inlineStr">
        <is>
          <t>감가상각비·무형자산상각비</t>
        </is>
      </c>
      <c r="B12" s="7" t="n">
        <v>620</v>
      </c>
      <c r="C12" s="7" t="n">
        <v>690</v>
      </c>
      <c r="D12" s="7" t="n">
        <v>760</v>
      </c>
      <c r="E12" s="7" t="n">
        <v>410</v>
      </c>
    </row>
    <row r="13">
      <c r="A13" s="5" t="inlineStr">
        <is>
          <t>EBITDA</t>
        </is>
      </c>
      <c r="B13" s="7" t="n">
        <v>2170</v>
      </c>
      <c r="C13" s="7" t="n">
        <v>2800</v>
      </c>
      <c r="D13" s="7" t="n">
        <v>3280</v>
      </c>
      <c r="E13" s="7" t="n">
        <v>1680</v>
      </c>
    </row>
    <row r="15">
      <c r="A15" s="2" t="inlineStr">
        <is>
          <t>• 매출은 B2B 식자재 유통 확대로 3개년 연평균 15.5% 성장</t>
        </is>
      </c>
    </row>
    <row r="16">
      <c r="A16" s="2" t="inlineStr">
        <is>
          <t>• 매출총이익률 FY2023 30.0% → FY2025 31.1%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4" t="inlineStr">
        <is>
          <t>S4. 3. 이익의 질 (조정 EBITDA)</t>
        </is>
      </c>
      <c r="J1" s="15">
        <f>HYPERLINK("#총괄표!A1","◀ 총괄표")</f>
        <v/>
      </c>
    </row>
    <row r="3">
      <c r="A3" s="2" t="inlineStr">
        <is>
          <t>3. 이익의 질 (조정 EBITDA)</t>
        </is>
      </c>
    </row>
    <row r="4">
      <c r="A4" s="2" t="inlineStr">
        <is>
          <t>(단위: 백만원)</t>
        </is>
      </c>
    </row>
    <row r="5">
      <c r="B5" s="2" t="inlineStr">
        <is>
          <t>(단위: 백만원)</t>
        </is>
      </c>
    </row>
    <row r="6">
      <c r="A6" s="3" t="inlineStr">
        <is>
          <t>구분</t>
        </is>
      </c>
      <c r="B6" s="3" t="inlineStr">
        <is>
          <t>FY2023</t>
        </is>
      </c>
      <c r="C6" s="3" t="inlineStr">
        <is>
          <t>FY2024</t>
        </is>
      </c>
      <c r="D6" s="3" t="inlineStr">
        <is>
          <t>FY2025</t>
        </is>
      </c>
      <c r="E6" s="3" t="inlineStr">
        <is>
          <t>2026 1H</t>
        </is>
      </c>
    </row>
    <row r="7">
      <c r="A7" s="5" t="inlineStr">
        <is>
          <t>보고 EBITDA</t>
        </is>
      </c>
      <c r="B7" s="7" t="n">
        <v>2170</v>
      </c>
      <c r="C7" s="7" t="n">
        <v>2800</v>
      </c>
      <c r="D7" s="7" t="n">
        <v>3280</v>
      </c>
      <c r="E7" s="7" t="n">
        <v>1680</v>
      </c>
    </row>
    <row r="8">
      <c r="A8" s="5" t="inlineStr">
        <is>
          <t>(+) 일회성 소송합의금</t>
        </is>
      </c>
      <c r="B8" s="7" t="n">
        <v>0</v>
      </c>
      <c r="C8" s="7" t="n">
        <v>180</v>
      </c>
      <c r="D8" s="7" t="n">
        <v>0</v>
      </c>
      <c r="E8" s="7" t="n">
        <v>0</v>
      </c>
    </row>
    <row r="9">
      <c r="A9" s="5" t="inlineStr">
        <is>
          <t>(−) 특수관계자 임차료 시가 초과분</t>
        </is>
      </c>
      <c r="B9" s="7" t="n">
        <v>-60</v>
      </c>
      <c r="C9" s="7" t="n">
        <v>-60</v>
      </c>
      <c r="D9" s="7" t="n">
        <v>-60</v>
      </c>
      <c r="E9" s="7" t="n">
        <v>-30</v>
      </c>
    </row>
    <row r="10">
      <c r="A10" s="5" t="inlineStr">
        <is>
          <t>(−) 정부보조금 수익</t>
        </is>
      </c>
      <c r="B10" s="7" t="n">
        <v>0</v>
      </c>
      <c r="C10" s="7" t="n">
        <v>0</v>
      </c>
      <c r="D10" s="7" t="n">
        <v>-120</v>
      </c>
      <c r="E10" s="7" t="n">
        <v>0</v>
      </c>
    </row>
    <row r="11">
      <c r="A11" s="5" t="inlineStr">
        <is>
          <t>(−) 재고평가손실 환입</t>
        </is>
      </c>
      <c r="B11" s="7" t="n">
        <v>0</v>
      </c>
      <c r="C11" s="7" t="n">
        <v>0</v>
      </c>
      <c r="D11" s="7" t="n">
        <v>-90</v>
      </c>
      <c r="E11" s="7" t="n">
        <v>0</v>
      </c>
    </row>
    <row r="12">
      <c r="A12" s="5" t="inlineStr">
        <is>
          <t>조정 EBITDA</t>
        </is>
      </c>
      <c r="B12" s="7" t="n">
        <v>2110</v>
      </c>
      <c r="C12" s="7" t="n">
        <v>2900</v>
      </c>
      <c r="D12" s="7" t="n">
        <v>3010</v>
      </c>
      <c r="E12" s="7" t="n">
        <v>1650</v>
      </c>
    </row>
    <row r="14">
      <c r="A14" s="2" t="inlineStr">
        <is>
          <t>• 일회성 소송합의금(FY2024)과 비경상 수익(정부보조금·재고평가손실 환입)을 제거</t>
        </is>
      </c>
    </row>
    <row r="15">
      <c r="A15" s="2" t="inlineStr">
        <is>
          <t>• 대표이사 소유 창고 임차료는 시가(월 10백만원) 초과분을 차감</t>
        </is>
      </c>
    </row>
    <row r="17">
      <c r="A17" s="10" t="inlineStr">
        <is>
          <t>■ 크로스 참조</t>
        </is>
      </c>
    </row>
    <row r="18">
      <c r="A18" s="2" t="inlineStr">
        <is>
          <t>슬라이드4 보고 EBITDA FY2025 = 슬라이드3 EBITDA FY2025</t>
        </is>
      </c>
      <c r="B18" s="16">
        <f>IF(ABS(D7-'S3'!D13)&lt;0.5,TRUE,D7-'S3'!D13)</f>
        <v/>
      </c>
      <c r="C18" s="2" t="inlineStr">
        <is>
          <t>→ S3!D13</t>
        </is>
      </c>
    </row>
    <row r="19">
      <c r="A19" s="2" t="inlineStr">
        <is>
          <t>슬라이드4 보고 EBITDA 2026 1H = 슬라이드3 EBITDA 2026 1H</t>
        </is>
      </c>
      <c r="B19" s="16">
        <f>IF(ABS(E7-'S3'!E13)&lt;0.5,TRUE,E7-'S3'!E13)</f>
        <v/>
      </c>
      <c r="C19" s="2" t="inlineStr">
        <is>
          <t>→ S3!E13</t>
        </is>
      </c>
    </row>
  </sheetData>
  <conditionalFormatting sqref="B18:B19">
    <cfRule type="expression" priority="1" dxfId="0">
      <formula>ISNUMBER(B18)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4" t="inlineStr">
        <is>
          <t>S5. 4. 순운전자본</t>
        </is>
      </c>
      <c r="J1" s="15">
        <f>HYPERLINK("#총괄표!A1","◀ 총괄표")</f>
        <v/>
      </c>
    </row>
    <row r="3">
      <c r="A3" s="2" t="inlineStr">
        <is>
          <t>4. 순운전자본</t>
        </is>
      </c>
    </row>
    <row r="4">
      <c r="A4" s="3" t="inlineStr">
        <is>
          <t>구분</t>
        </is>
      </c>
      <c r="B4" s="3" t="inlineStr">
        <is>
          <t>FY2023</t>
        </is>
      </c>
      <c r="C4" s="3" t="inlineStr">
        <is>
          <t>FY2024</t>
        </is>
      </c>
      <c r="D4" s="3" t="inlineStr">
        <is>
          <t>FY2025</t>
        </is>
      </c>
      <c r="E4" s="3" t="inlineStr">
        <is>
          <t>2026 1H</t>
        </is>
      </c>
    </row>
    <row r="5">
      <c r="A5" s="5" t="inlineStr">
        <is>
          <t>매출채권</t>
        </is>
      </c>
      <c r="B5" s="7" t="n">
        <v>2310</v>
      </c>
      <c r="C5" s="7" t="n">
        <v>2640</v>
      </c>
      <c r="D5" s="7" t="n">
        <v>3050</v>
      </c>
      <c r="E5" s="7" t="n">
        <v>3180</v>
      </c>
    </row>
    <row r="6">
      <c r="A6" s="5" t="inlineStr">
        <is>
          <t>재고자산</t>
        </is>
      </c>
      <c r="B6" s="7" t="n">
        <v>1480</v>
      </c>
      <c r="C6" s="7" t="n">
        <v>1620</v>
      </c>
      <c r="D6" s="7" t="n">
        <v>1810</v>
      </c>
      <c r="E6" s="7" t="n">
        <v>1900</v>
      </c>
    </row>
    <row r="7">
      <c r="A7" s="5" t="inlineStr">
        <is>
          <t>매입채무</t>
        </is>
      </c>
      <c r="B7" s="7" t="n">
        <v>-1150</v>
      </c>
      <c r="C7" s="7" t="n">
        <v>-1290</v>
      </c>
      <c r="D7" s="7" t="n">
        <v>-1470</v>
      </c>
      <c r="E7" s="7" t="n">
        <v>-1520</v>
      </c>
    </row>
    <row r="8">
      <c r="A8" s="5" t="inlineStr">
        <is>
          <t>기타유동부채</t>
        </is>
      </c>
      <c r="B8" s="7" t="n">
        <v>-120</v>
      </c>
      <c r="C8" s="7" t="n">
        <v>-140</v>
      </c>
      <c r="D8" s="7" t="n">
        <v>-180</v>
      </c>
      <c r="E8" s="7" t="n">
        <v>-190</v>
      </c>
    </row>
    <row r="9">
      <c r="A9" s="5" t="inlineStr">
        <is>
          <t>순운전자본</t>
        </is>
      </c>
      <c r="B9" s="7" t="n">
        <v>2520</v>
      </c>
      <c r="C9" s="7" t="n">
        <v>2830</v>
      </c>
      <c r="D9" s="7" t="n">
        <v>3120</v>
      </c>
      <c r="E9" s="7" t="n">
        <v>3370</v>
      </c>
    </row>
    <row r="11">
      <c r="A11" s="2" t="inlineStr">
        <is>
          <t>• 매출채권 회전일수 FY2023 46일 → FY2025 45일로 안정적</t>
        </is>
      </c>
    </row>
    <row r="12">
      <c r="A12" s="2" t="inlineStr">
        <is>
          <t>• 재고자산은 원재료 선매입으로 증가 추세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4" t="inlineStr">
        <is>
          <t>S6. 5. 순차입금 (2025년 12월 31일 현재)</t>
        </is>
      </c>
      <c r="J1" s="15">
        <f>HYPERLINK("#총괄표!A1","◀ 총괄표")</f>
        <v/>
      </c>
    </row>
    <row r="3">
      <c r="A3" s="2" t="inlineStr">
        <is>
          <t>5. 순차입금 (2025년 12월 31일 현재)</t>
        </is>
      </c>
    </row>
    <row r="4">
      <c r="A4" s="2" t="inlineStr">
        <is>
          <t>(단위: 백만원)</t>
        </is>
      </c>
    </row>
    <row r="5">
      <c r="B5" s="2" t="inlineStr">
        <is>
          <t>(단위: 백만원)</t>
        </is>
      </c>
    </row>
    <row r="6">
      <c r="A6" s="3" t="inlineStr">
        <is>
          <t>구분</t>
        </is>
      </c>
      <c r="B6" s="3" t="inlineStr">
        <is>
          <t>금액</t>
        </is>
      </c>
      <c r="C6" s="3" t="inlineStr">
        <is>
          <t>비고</t>
        </is>
      </c>
    </row>
    <row r="7">
      <c r="A7" s="5" t="inlineStr">
        <is>
          <t>단기차입금</t>
        </is>
      </c>
      <c r="B7" s="7" t="n">
        <v>2100</v>
      </c>
      <c r="C7" s="4" t="inlineStr">
        <is>
          <t>○○은행 운전자금, 만기 2026-06</t>
        </is>
      </c>
    </row>
    <row r="8">
      <c r="A8" s="5" t="inlineStr">
        <is>
          <t>장기차입금</t>
        </is>
      </c>
      <c r="B8" s="7" t="n">
        <v>1800</v>
      </c>
      <c r="C8" s="4" t="inlineStr">
        <is>
          <t>△△은행 시설자금, 만기 2028-12</t>
        </is>
      </c>
    </row>
    <row r="9">
      <c r="A9" s="5" t="inlineStr">
        <is>
          <t>(−) 현금및현금성자산</t>
        </is>
      </c>
      <c r="B9" s="7" t="n">
        <v>-1690</v>
      </c>
      <c r="C9" s="4" t="inlineStr">
        <is>
          <t>은행조회서 대사 완료</t>
        </is>
      </c>
    </row>
    <row r="10">
      <c r="A10" s="5" t="inlineStr">
        <is>
          <t>순차입금</t>
        </is>
      </c>
      <c r="B10" s="7" t="n">
        <v>2210</v>
      </c>
      <c r="C10" s="4" t="inlineStr">
        <is>
          <t>리스부채 포함</t>
        </is>
      </c>
    </row>
    <row r="12">
      <c r="A12" s="2" t="inlineStr">
        <is>
          <t>• 단기차입금은 2026년 6월 만기 도래 — 차환 조건 확인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4" t="inlineStr">
        <is>
          <t>S7. 6. 매출처별 매출 (FY2025)</t>
        </is>
      </c>
      <c r="J1" s="15">
        <f>HYPERLINK("#총괄표!A1","◀ 총괄표")</f>
        <v/>
      </c>
    </row>
    <row r="3">
      <c r="A3" s="2" t="inlineStr">
        <is>
          <t>6. 매출처별 매출 (FY2025)</t>
        </is>
      </c>
    </row>
    <row r="4">
      <c r="A4" s="2" t="inlineStr">
        <is>
          <t>(단위: 백만원)</t>
        </is>
      </c>
    </row>
    <row r="5">
      <c r="B5" s="2" t="inlineStr">
        <is>
          <t>(단위: 백만원)</t>
        </is>
      </c>
    </row>
    <row r="6">
      <c r="A6" s="3" t="inlineStr">
        <is>
          <t>거래처</t>
        </is>
      </c>
      <c r="B6" s="3" t="inlineStr">
        <is>
          <t>매출</t>
        </is>
      </c>
      <c r="C6" s="3" t="inlineStr">
        <is>
          <t>비중</t>
        </is>
      </c>
    </row>
    <row r="7">
      <c r="A7" s="5" t="inlineStr">
        <is>
          <t>A유통</t>
        </is>
      </c>
      <c r="B7" s="7" t="n">
        <v>9820</v>
      </c>
      <c r="C7" s="4" t="inlineStr">
        <is>
          <t>40.0%</t>
        </is>
      </c>
    </row>
    <row r="8">
      <c r="A8" s="5" t="inlineStr">
        <is>
          <t>B마트</t>
        </is>
      </c>
      <c r="B8" s="7" t="n">
        <v>6140</v>
      </c>
      <c r="C8" s="4" t="inlineStr">
        <is>
          <t>25.0%</t>
        </is>
      </c>
    </row>
    <row r="9">
      <c r="A9" s="5" t="inlineStr">
        <is>
          <t>C식자재</t>
        </is>
      </c>
      <c r="B9" s="7" t="n">
        <v>3680</v>
      </c>
      <c r="C9" s="4" t="inlineStr">
        <is>
          <t>15.0%</t>
        </is>
      </c>
    </row>
    <row r="10">
      <c r="A10" s="5" t="inlineStr">
        <is>
          <t>기타</t>
        </is>
      </c>
      <c r="B10" s="7" t="n">
        <v>4920</v>
      </c>
      <c r="C10" s="4" t="inlineStr">
        <is>
          <t>20.0%</t>
        </is>
      </c>
    </row>
    <row r="11">
      <c r="A11" s="8" t="inlineStr">
        <is>
          <t>합계</t>
        </is>
      </c>
      <c r="B11" s="9" t="n">
        <v>24560</v>
      </c>
      <c r="C11" s="17" t="inlineStr">
        <is>
          <t>100.0%</t>
        </is>
      </c>
    </row>
    <row r="12">
      <c r="A12" s="2" t="inlineStr">
        <is>
          <t xml:space="preserve">  └ 푸팅검증: 합계(행 11) − Σ(행)</t>
        </is>
      </c>
      <c r="B12" s="16">
        <f>IF(ABS(B11-(SUM(B7:B10)))&lt;1.5,TRUE,B11-(SUM(B7:B10)))</f>
        <v/>
      </c>
      <c r="C12" s="16">
        <f>IF(ABS(C11-(SUM(C7:C10)))&lt;1.5,TRUE,C11-(SUM(C7:C10)))</f>
        <v/>
      </c>
    </row>
    <row r="14">
      <c r="A14" s="2" t="inlineStr">
        <is>
          <t>• 상위 3개 거래처 비중 80.0%</t>
        </is>
      </c>
    </row>
    <row r="15">
      <c r="A15" s="2" t="inlineStr">
        <is>
          <t>• 주요 거래처 매출 인식에 특이사항 없음</t>
        </is>
      </c>
    </row>
    <row r="17">
      <c r="A17" s="10" t="inlineStr">
        <is>
          <t>■ 크로스 참조</t>
        </is>
      </c>
    </row>
    <row r="18">
      <c r="A18" s="2" t="inlineStr">
        <is>
          <t>슬라이드7 매출처별 합계 = 슬라이드3 매출 FY2025</t>
        </is>
      </c>
      <c r="B18" s="16">
        <f>IF(ABS(B11-'S3'!D7)&lt;0.5,TRUE,B11-'S3'!D7)</f>
        <v/>
      </c>
      <c r="C18" s="2" t="inlineStr">
        <is>
          <t>→ S3!D7</t>
        </is>
      </c>
    </row>
  </sheetData>
  <conditionalFormatting sqref="B12">
    <cfRule type="expression" priority="1" dxfId="0">
      <formula>ISNUMBER(B12)</formula>
    </cfRule>
  </conditionalFormatting>
  <conditionalFormatting sqref="C12">
    <cfRule type="expression" priority="2" dxfId="0">
      <formula>ISNUMBER(C12)</formula>
    </cfRule>
  </conditionalFormatting>
  <conditionalFormatting sqref="B18">
    <cfRule type="expression" priority="3" dxfId="0">
      <formula>ISNUMBER(B18)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1" customWidth="1" min="3" max="3"/>
    <col width="24" customWidth="1" min="4" max="4"/>
    <col width="58" customWidth="1" min="5" max="5"/>
    <col width="62" customWidth="1" min="6" max="6"/>
    <col width="60" customWidth="1" min="7" max="7"/>
  </cols>
  <sheetData>
    <row r="1">
      <c r="A1" s="18" t="inlineStr">
        <is>
          <t>지적사항 — 중요도 순 (S: 발행 전 필수 / A: 내용 보강·확인 / B: 표 형식·레이아웃 / C: 문구·오타)</t>
        </is>
      </c>
    </row>
    <row r="3">
      <c r="A3" s="19" t="inlineStr">
        <is>
          <t>중요도</t>
        </is>
      </c>
      <c r="B3" s="19" t="inlineStr">
        <is>
          <t>No</t>
        </is>
      </c>
      <c r="C3" s="19" t="inlineStr">
        <is>
          <t>유형</t>
        </is>
      </c>
      <c r="D3" s="19" t="inlineStr">
        <is>
          <t>위치</t>
        </is>
      </c>
      <c r="E3" s="19" t="inlineStr">
        <is>
          <t>지적 내용</t>
        </is>
      </c>
      <c r="F3" s="19" t="inlineStr">
        <is>
          <t>근거 · 계산</t>
        </is>
      </c>
      <c r="G3" s="19" t="inlineStr">
        <is>
          <t>수정안</t>
        </is>
      </c>
    </row>
    <row r="4" ht="38.92566619915848" customHeight="1">
      <c r="A4" s="20" t="inlineStr">
        <is>
          <t>S</t>
        </is>
      </c>
      <c r="B4" s="4" t="n">
        <v>1</v>
      </c>
      <c r="C4" s="4" t="inlineStr">
        <is>
          <t>결론·근거</t>
        </is>
      </c>
      <c r="D4" s="21" t="inlineStr">
        <is>
          <t>슬라이드6 표1 순차입금 / 슬라이드2 요약</t>
        </is>
      </c>
      <c r="E4" s="21" t="inlineStr">
        <is>
          <t>순차입금 2,210백만원은 리스부채를 뺀 값인데, 표 비고와 요약 문장은 '리스부채 포함'이라고 쓴다.</t>
        </is>
      </c>
      <c r="F4" s="21" t="inlineStr">
        <is>
          <t>조서 순차입금!B9 = 2,100 + 1,800 + 1,240 − 1,690 = 3,450. 보고서 표는 리스부채 1,240 행이 빠져 2,100 + 1,800 − 1,690 = 2,210. 차이 1,240 = 리스부채 전액.</t>
        </is>
      </c>
      <c r="G4" s="21" t="inlineStr">
        <is>
          <t>리스부채 행을 넣고 순차입금을 3,450으로 고치거나, 리스부채 제외 기준이면 비고·요약 문구를 '리스부채 제외'로 바꾸고 제외 사유를 쓴다.</t>
        </is>
      </c>
    </row>
    <row r="5" ht="33.28050490883591" customHeight="1">
      <c r="A5" s="20" t="inlineStr">
        <is>
          <t>S</t>
        </is>
      </c>
      <c r="B5" s="4" t="n">
        <v>2</v>
      </c>
      <c r="C5" s="4" t="inlineStr">
        <is>
          <t>결론·근거</t>
        </is>
      </c>
      <c r="D5" s="21" t="inlineStr">
        <is>
          <t>슬라이드2 요약 · 슬라이드7 본문</t>
        </is>
      </c>
      <c r="E5" s="21" t="inlineStr">
        <is>
          <t>조서에 B마트 '확인필요'(반품 조건 계약서 미입수) 가 남아 있는데 보고서는 '주요 거래처 매출 인식에 특이사항 없음'으로 끝맺는다.</t>
        </is>
      </c>
      <c r="F5" s="21" t="inlineStr">
        <is>
          <t>조서 매출처별!C6 = 확인필요, 비고: 90일 미판매분 반품 조건 계약서 미입수 — 매출 인식 시점 검토 필요. B마트 FY2025 매출 6,140 = 전체 24,560의 25.0%.</t>
        </is>
      </c>
      <c r="G5" s="21" t="inlineStr">
        <is>
          <t>계약서를 입수해 반품권 회계처리(변동대가·환불부채)를 확인한 뒤 결론을 쓰거나, 미확인 상태를 보고서에 제한사항으로 명시한다.</t>
        </is>
      </c>
    </row>
    <row r="6" ht="32" customHeight="1">
      <c r="A6" s="20" t="inlineStr">
        <is>
          <t>S</t>
        </is>
      </c>
      <c r="B6" s="4" t="n">
        <v>3</v>
      </c>
      <c r="C6" s="4" t="inlineStr">
        <is>
          <t>숫자대사</t>
        </is>
      </c>
      <c r="D6" s="21" t="inlineStr">
        <is>
          <t>슬라이드3 표1 매출 FY2025</t>
        </is>
      </c>
      <c r="E6" s="21" t="inlineStr">
        <is>
          <t>FY2025 매출 24,650이 조서와 다르다.</t>
        </is>
      </c>
      <c r="F6" s="21" t="inlineStr">
        <is>
          <t>조서 IS_요약!D4 = 24,560. 24,650 − 24,560 = 90 (가운데 두 자리 뒤바뀜). 슬라이드7 매출처별 합계 24,560과도 어긋난다.</t>
        </is>
      </c>
      <c r="G6" s="21" t="inlineStr">
        <is>
          <t>24,560으로 정정. 매출총이익률(31.1%)·성장률 문구도 재계산.</t>
        </is>
      </c>
    </row>
    <row r="7" ht="32" customHeight="1">
      <c r="A7" s="20" t="inlineStr">
        <is>
          <t>S</t>
        </is>
      </c>
      <c r="B7" s="4" t="n">
        <v>4</v>
      </c>
      <c r="C7" s="4" t="inlineStr">
        <is>
          <t>합계검산</t>
        </is>
      </c>
      <c r="D7" s="21" t="inlineStr">
        <is>
          <t>슬라이드4 표1 조정 EBITDA FY2024</t>
        </is>
      </c>
      <c r="E7" s="21" t="inlineStr">
        <is>
          <t>조정 EBITDA FY2024 2,900이 항목 합과 다르다.</t>
        </is>
      </c>
      <c r="F7" s="21" t="inlineStr">
        <is>
          <t>2,800 + 180 − 60 + 0 + 0 = 2,920 (조서 QoE조정!C9 = 2,920). 차이 −20.</t>
        </is>
      </c>
      <c r="G7" s="21" t="inlineStr">
        <is>
          <t>2,920으로 정정.</t>
        </is>
      </c>
    </row>
    <row r="8" ht="32" customHeight="1">
      <c r="A8" s="20" t="inlineStr">
        <is>
          <t>S</t>
        </is>
      </c>
      <c r="B8" s="4" t="n">
        <v>5</v>
      </c>
      <c r="C8" s="4" t="inlineStr">
        <is>
          <t>합계검산</t>
        </is>
      </c>
      <c r="D8" s="21" t="inlineStr">
        <is>
          <t>슬라이드5 표1 순운전자본 FY2025 / 슬라이드2 요약</t>
        </is>
      </c>
      <c r="E8" s="21" t="inlineStr">
        <is>
          <t>순운전자본 FY2025 3,120이 항목 합과 다르다. 요약 문장에도 같은 숫자가 들어갔다.</t>
        </is>
      </c>
      <c r="F8" s="21" t="inlineStr">
        <is>
          <t>3,050 + 1,810 − 1,470 − 180 = 3,210 (조서 NWC!D9 = 3,210). 차이 −90.</t>
        </is>
      </c>
      <c r="G8" s="21" t="inlineStr">
        <is>
          <t>표와 요약 문장을 3,210으로 정정.</t>
        </is>
      </c>
    </row>
    <row r="9" ht="32" customHeight="1">
      <c r="A9" s="22" t="inlineStr">
        <is>
          <t>A</t>
        </is>
      </c>
      <c r="B9" s="4" t="n">
        <v>6</v>
      </c>
      <c r="C9" s="4" t="inlineStr">
        <is>
          <t>서술검산</t>
        </is>
      </c>
      <c r="D9" s="21" t="inlineStr">
        <is>
          <t>슬라이드2 요약 첫 문장</t>
        </is>
      </c>
      <c r="E9" s="21" t="inlineStr">
        <is>
          <t>'FY2025 매출은 전년 대비 17.2% 성장'이 표의 숫자로 성립하지 않는다.</t>
        </is>
      </c>
      <c r="F9" s="21" t="inlineStr">
        <is>
          <t>조서 기준 24,560 ÷ 21,350 − 1 = 15.0%. 보고서 표의 24,650으로 계산해도 15.5%. 17.2%의 출처가 조서·보고서 어디에도 없다.</t>
        </is>
      </c>
      <c r="G9" s="21" t="inlineStr">
        <is>
          <t>15.0%로 고치고, 성장률 산식(전년 대비)을 표 주석에 적는다.</t>
        </is>
      </c>
    </row>
    <row r="10" ht="36.96213183730715" customHeight="1">
      <c r="A10" s="22" t="inlineStr">
        <is>
          <t>A</t>
        </is>
      </c>
      <c r="B10" s="4" t="n">
        <v>7</v>
      </c>
      <c r="C10" s="4" t="inlineStr">
        <is>
          <t>누락</t>
        </is>
      </c>
      <c r="D10" s="21" t="inlineStr">
        <is>
          <t>슬라이드5 표1</t>
        </is>
      </c>
      <c r="E10" s="21" t="inlineStr">
        <is>
          <t>순운전자본 표에 단위·기준일·산식 정의가 없다.</t>
        </is>
      </c>
      <c r="F10" s="21" t="inlineStr">
        <is>
          <t>다른 표는 '(단위: 백만원)' 표기가 있는데 이 표만 없다. 조서 NWC 시트에는 '기준일: 각 회계기간 말일, 순운전자본 = 매출채권 + 재고자산 − 매입채무 − 기타유동부채'가 적혀 있으나 보고서에는 없다.</t>
        </is>
      </c>
      <c r="G10" s="21" t="inlineStr">
        <is>
          <t>단위·기준일(각 기말, 2026 1H = 2026-06-30)·산식을 표 아래에 적는다.</t>
        </is>
      </c>
    </row>
    <row r="11" ht="32" customHeight="1">
      <c r="A11" s="23" t="inlineStr">
        <is>
          <t>B</t>
        </is>
      </c>
      <c r="B11" s="4" t="n">
        <v>8</v>
      </c>
      <c r="C11" s="4" t="inlineStr">
        <is>
          <t>표형식</t>
        </is>
      </c>
      <c r="D11" s="21" t="inlineStr">
        <is>
          <t>슬라이드7 표1 행5(합계)</t>
        </is>
      </c>
      <c r="E11" s="21" t="inlineStr">
        <is>
          <t>합계행에 굵게·음영 등 강조가 없어 데이터행과 구분되지 않는다.</t>
        </is>
      </c>
      <c r="F11" s="21" t="inlineStr">
        <is>
          <t>format_audit: S7/Table 3 행5.</t>
        </is>
      </c>
      <c r="G11" s="21" t="inlineStr">
        <is>
          <t>합계행 굵게 + 상단 괘선.</t>
        </is>
      </c>
    </row>
    <row r="12" ht="32" customHeight="1">
      <c r="A12" s="24" t="inlineStr">
        <is>
          <t>C</t>
        </is>
      </c>
      <c r="B12" s="4" t="n">
        <v>9</v>
      </c>
      <c r="C12" s="4" t="inlineStr">
        <is>
          <t>용어</t>
        </is>
      </c>
      <c r="D12" s="21" t="inlineStr">
        <is>
          <t>슬라이드3 표1 행3 / 슬라이드3 본문</t>
        </is>
      </c>
      <c r="E12" s="21" t="inlineStr">
        <is>
          <t>'매출 총이익'(표)과 '매출총이익'(본문·조서) 띄어쓰기 혼용.</t>
        </is>
      </c>
      <c r="F12" s="21" t="inlineStr">
        <is>
          <t>조서 IS_요약 라벨은 '매출총이익'.</t>
        </is>
      </c>
      <c r="G12" s="21" t="inlineStr">
        <is>
          <t>'매출총이익'으로 통일.</t>
        </is>
      </c>
    </row>
    <row r="13" ht="32" customHeight="1">
      <c r="A13" s="24" t="inlineStr">
        <is>
          <t>C</t>
        </is>
      </c>
      <c r="B13" s="4" t="n">
        <v>10</v>
      </c>
      <c r="C13" s="4" t="inlineStr">
        <is>
          <t>용어</t>
        </is>
      </c>
      <c r="D13" s="21" t="inlineStr">
        <is>
          <t>슬라이드2 요약 넷째 문장 / 슬라이드5 제목·표</t>
        </is>
      </c>
      <c r="E13" s="21" t="inlineStr">
        <is>
          <t>'순운전 자본'(요약)과 '순운전자본'(슬라이드5) 띄어쓰기 혼용.</t>
        </is>
      </c>
      <c r="F13" s="21" t="inlineStr">
        <is>
          <t>조서 NWC 시트 라벨은 '순운전자본'.</t>
        </is>
      </c>
      <c r="G13" s="21" t="inlineStr">
        <is>
          <t>'순운전자본'으로 통일.</t>
        </is>
      </c>
    </row>
  </sheetData>
  <autoFilter ref="A3:G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60" customWidth="1" min="3" max="3"/>
    <col width="13" customWidth="1" min="4" max="4"/>
    <col width="6" customWidth="1" min="5" max="5"/>
    <col width="46" customWidth="1" min="6" max="6"/>
    <col width="14" customWidth="1" min="7" max="7"/>
    <col width="12" customWidth="1" min="8" max="8"/>
  </cols>
  <sheetData>
    <row r="1">
      <c r="A1" s="14" t="inlineStr">
        <is>
          <t>서술 검산 — 본문 문장의 수치를 표 값으로 재계산</t>
        </is>
      </c>
      <c r="H1" s="15">
        <f>HYPERLINK("#총괄표!A1","◀ 총괄표")</f>
        <v/>
      </c>
    </row>
    <row r="3">
      <c r="A3" s="3" t="inlineStr">
        <is>
          <t>No</t>
        </is>
      </c>
      <c r="B3" s="3" t="inlineStr">
        <is>
          <t>위치</t>
        </is>
      </c>
      <c r="C3" s="3" t="inlineStr">
        <is>
          <t>문장</t>
        </is>
      </c>
      <c r="D3" s="3" t="inlineStr">
        <is>
          <t>기재값</t>
        </is>
      </c>
      <c r="E3" s="3" t="inlineStr">
        <is>
          <t>단위</t>
        </is>
      </c>
      <c r="F3" s="3" t="inlineStr">
        <is>
          <t>재계산식</t>
        </is>
      </c>
      <c r="G3" s="3" t="inlineStr">
        <is>
          <t>재계산값</t>
        </is>
      </c>
      <c r="H3" s="3" t="inlineStr">
        <is>
          <t>차이</t>
        </is>
      </c>
    </row>
    <row r="4">
      <c r="A4" s="4" t="n">
        <v>1</v>
      </c>
      <c r="B4" s="5" t="inlineStr">
        <is>
          <t>슬라이드 2</t>
        </is>
      </c>
      <c r="C4" s="5" t="inlineStr">
        <is>
          <t>FY2025 매출은 전년 대비 17.2% 성장</t>
        </is>
      </c>
      <c r="D4" s="25" t="n">
        <v>17.2</v>
      </c>
      <c r="E4" s="4" t="inlineStr">
        <is>
          <t>%</t>
        </is>
      </c>
      <c r="F4" s="5" t="inlineStr">
        <is>
          <t>('S3'!D7/'S3'!C7-1)*100</t>
        </is>
      </c>
      <c r="G4" s="26">
        <f>('S3'!D7/'S3'!C7-1)*100</f>
        <v/>
      </c>
      <c r="H4" s="16">
        <f>IF(ABS(G4-D4)&lt;0.05,TRUE,G4-D4)</f>
        <v/>
      </c>
    </row>
    <row r="5">
      <c r="A5" s="4" t="n">
        <v>2</v>
      </c>
      <c r="B5" s="5" t="inlineStr">
        <is>
          <t>슬라이드 4</t>
        </is>
      </c>
      <c r="C5" s="5" t="inlineStr">
        <is>
          <t>조정 EBITDA FY2024 2,900 = 보고 EBITDA + 조정 항목</t>
        </is>
      </c>
      <c r="D5" s="7" t="n">
        <v>2900</v>
      </c>
      <c r="E5" s="4" t="inlineStr">
        <is>
          <t>백만원</t>
        </is>
      </c>
      <c r="F5" s="5" t="inlineStr">
        <is>
          <t>'S4'!C7+'S4'!C8+'S4'!C9+'S4'!C10+'S4'!C11</t>
        </is>
      </c>
      <c r="G5" s="27">
        <f>'S4'!C7+'S4'!C8+'S4'!C9+'S4'!C10+'S4'!C11</f>
        <v/>
      </c>
      <c r="H5" s="16">
        <f>IF(ABS(G5-D5)&lt;0.5,TRUE,G5-D5)</f>
        <v/>
      </c>
    </row>
    <row r="6">
      <c r="A6" s="4" t="n">
        <v>3</v>
      </c>
      <c r="B6" s="5" t="inlineStr">
        <is>
          <t>슬라이드 4</t>
        </is>
      </c>
      <c r="C6" s="5" t="inlineStr">
        <is>
          <t>조정 EBITDA FY2025 3,010 = 보고 EBITDA + 조정 항목</t>
        </is>
      </c>
      <c r="D6" s="7" t="n">
        <v>3010</v>
      </c>
      <c r="E6" s="4" t="inlineStr">
        <is>
          <t>백만원</t>
        </is>
      </c>
      <c r="F6" s="5" t="inlineStr">
        <is>
          <t>'S4'!D7+'S4'!D8+'S4'!D9+'S4'!D10+'S4'!D11</t>
        </is>
      </c>
      <c r="G6" s="27">
        <f>'S4'!D7+'S4'!D8+'S4'!D9+'S4'!D10+'S4'!D11</f>
        <v/>
      </c>
      <c r="H6" s="16">
        <f>IF(ABS(G6-D6)&lt;0.5,TRUE,G6-D6)</f>
        <v/>
      </c>
    </row>
    <row r="7">
      <c r="A7" s="4" t="n">
        <v>4</v>
      </c>
      <c r="B7" s="5" t="inlineStr">
        <is>
          <t>슬라이드 5</t>
        </is>
      </c>
      <c r="C7" s="5" t="inlineStr">
        <is>
          <t>순운전자본 FY2025 3,120 = 매출채권 + 재고자산 − 매입채무 − 기타유동부채</t>
        </is>
      </c>
      <c r="D7" s="7" t="n">
        <v>3120</v>
      </c>
      <c r="E7" s="4" t="inlineStr">
        <is>
          <t>백만원</t>
        </is>
      </c>
      <c r="F7" s="5" t="inlineStr">
        <is>
          <t>'S5'!D5+'S5'!D6+'S5'!D7+'S5'!D8</t>
        </is>
      </c>
      <c r="G7" s="27">
        <f>'S5'!D5+'S5'!D6+'S5'!D7+'S5'!D8</f>
        <v/>
      </c>
      <c r="H7" s="16">
        <f>IF(ABS(G7-D7)&lt;0.5,TRUE,G7-D7)</f>
        <v/>
      </c>
    </row>
    <row r="8">
      <c r="A8" s="4" t="n">
        <v>5</v>
      </c>
      <c r="B8" s="5" t="inlineStr">
        <is>
          <t>슬라이드 3</t>
        </is>
      </c>
      <c r="C8" s="5" t="inlineStr">
        <is>
          <t>매출총이익률 FY2025 31.1%</t>
        </is>
      </c>
      <c r="D8" s="25" t="n">
        <v>31.1</v>
      </c>
      <c r="E8" s="4" t="inlineStr">
        <is>
          <t>%</t>
        </is>
      </c>
      <c r="F8" s="5" t="inlineStr">
        <is>
          <t>'S3'!D9/'S3'!D7*100</t>
        </is>
      </c>
      <c r="G8" s="26">
        <f>'S3'!D9/'S3'!D7*100</f>
        <v/>
      </c>
      <c r="H8" s="16">
        <f>IF(ABS(G8-D8)&lt;0.05,TRUE,G8-D8)</f>
        <v/>
      </c>
    </row>
    <row r="9">
      <c r="A9" s="4" t="n">
        <v>6</v>
      </c>
      <c r="B9" s="5" t="inlineStr">
        <is>
          <t>슬라이드 7</t>
        </is>
      </c>
      <c r="C9" s="5" t="inlineStr">
        <is>
          <t>상위 3개 거래처 비중 80.0%</t>
        </is>
      </c>
      <c r="D9" s="25" t="n">
        <v>80</v>
      </c>
      <c r="E9" s="4" t="inlineStr">
        <is>
          <t>%</t>
        </is>
      </c>
      <c r="F9" s="5" t="inlineStr">
        <is>
          <t>('S7'!B7+'S7'!B8+'S7'!B9)/'S7'!B11*100</t>
        </is>
      </c>
      <c r="G9" s="26">
        <f>('S7'!B7+'S7'!B8+'S7'!B9)/'S7'!B11*100</f>
        <v/>
      </c>
      <c r="H9" s="16">
        <f>IF(ABS(G9-D9)&lt;0.05,TRUE,G9-D9)</f>
        <v/>
      </c>
    </row>
  </sheetData>
  <conditionalFormatting sqref="H4:H9">
    <cfRule type="expression" priority="1" dxfId="0">
      <formula>ISNUMBER(H4)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46" customWidth="1" min="4" max="4"/>
    <col width="18" customWidth="1" min="5" max="5"/>
    <col width="14" customWidth="1" min="6" max="6"/>
    <col width="58" customWidth="1" min="7" max="7"/>
  </cols>
  <sheetData>
    <row r="1">
      <c r="A1" s="18" t="inlineStr">
        <is>
          <t>숫자 대사 명세 — 보고서 기재액 ↔ 조서·원장</t>
        </is>
      </c>
    </row>
    <row r="3">
      <c r="A3" s="19" t="inlineStr">
        <is>
          <t>No</t>
        </is>
      </c>
      <c r="B3" s="19" t="inlineStr">
        <is>
          <t>항목</t>
        </is>
      </c>
      <c r="C3" s="19" t="inlineStr">
        <is>
          <t>보고서 기재</t>
        </is>
      </c>
      <c r="D3" s="19" t="inlineStr">
        <is>
          <t>대사 원천</t>
        </is>
      </c>
      <c r="E3" s="19" t="inlineStr">
        <is>
          <t>원천 금액</t>
        </is>
      </c>
      <c r="F3" s="19" t="inlineStr">
        <is>
          <t>차이</t>
        </is>
      </c>
      <c r="G3" s="19" t="inlineStr">
        <is>
          <t>대사 근거</t>
        </is>
      </c>
    </row>
    <row r="4" ht="26" customHeight="1">
      <c r="A4" s="28" t="n">
        <v>1</v>
      </c>
      <c r="B4" s="29" t="inlineStr">
        <is>
          <t>매출 FY2025 (슬라이드3)</t>
        </is>
      </c>
      <c r="C4" s="30" t="n">
        <v>24650</v>
      </c>
      <c r="D4" s="29" t="inlineStr">
        <is>
          <t>IS_요약!D4</t>
        </is>
      </c>
      <c r="E4" s="30" t="n">
        <v>24560</v>
      </c>
      <c r="F4" s="31" t="n">
        <v>90</v>
      </c>
      <c r="G4" s="29" t="inlineStr">
        <is>
          <t>숫자 뒤바뀜 — 지적 3</t>
        </is>
      </c>
    </row>
    <row r="5" ht="26" customHeight="1">
      <c r="A5" s="28" t="n">
        <v>2</v>
      </c>
      <c r="B5" s="29" t="inlineStr">
        <is>
          <t>조정 EBITDA FY2024 (슬라이드4)</t>
        </is>
      </c>
      <c r="C5" s="30" t="n">
        <v>2900</v>
      </c>
      <c r="D5" s="29" t="inlineStr">
        <is>
          <t>QoE조정!C9 / 항목 합</t>
        </is>
      </c>
      <c r="E5" s="30" t="n">
        <v>2920</v>
      </c>
      <c r="F5" s="31" t="n">
        <v>-20</v>
      </c>
      <c r="G5" s="29" t="inlineStr">
        <is>
          <t>2,800+180−60 — 지적 4</t>
        </is>
      </c>
    </row>
    <row r="6" ht="26" customHeight="1">
      <c r="A6" s="28" t="n">
        <v>3</v>
      </c>
      <c r="B6" s="29" t="inlineStr">
        <is>
          <t>순운전자본 FY2025 (슬라이드5)</t>
        </is>
      </c>
      <c r="C6" s="30" t="n">
        <v>3120</v>
      </c>
      <c r="D6" s="29" t="inlineStr">
        <is>
          <t>NWC!D9 / 항목 합</t>
        </is>
      </c>
      <c r="E6" s="30" t="n">
        <v>3210</v>
      </c>
      <c r="F6" s="31" t="n">
        <v>-90</v>
      </c>
      <c r="G6" s="29" t="inlineStr">
        <is>
          <t>3,050+1,810−1,470−180 — 지적 5</t>
        </is>
      </c>
    </row>
    <row r="7" ht="26" customHeight="1">
      <c r="A7" s="28" t="n">
        <v>4</v>
      </c>
      <c r="B7" s="29" t="inlineStr">
        <is>
          <t>순차입금 FY2025말 (슬라이드6)</t>
        </is>
      </c>
      <c r="C7" s="30" t="n">
        <v>2210</v>
      </c>
      <c r="D7" s="29" t="inlineStr">
        <is>
          <t>순차입금!B9</t>
        </is>
      </c>
      <c r="E7" s="30" t="n">
        <v>3450</v>
      </c>
      <c r="F7" s="30" t="n">
        <v>-1240</v>
      </c>
      <c r="G7" s="29" t="inlineStr">
        <is>
          <t>리스부채 1,240 누락 — 지적 1</t>
        </is>
      </c>
    </row>
    <row r="8" ht="26" customHeight="1">
      <c r="A8" s="32" t="n">
        <v>5</v>
      </c>
      <c r="B8" s="21" t="inlineStr">
        <is>
          <t>매출 FY2023·FY2024·2026 1H (슬라이드3)</t>
        </is>
      </c>
      <c r="C8" s="33" t="n">
        <v>18420</v>
      </c>
      <c r="D8" s="21" t="inlineStr">
        <is>
          <t>IS_요약!B4·C4·E4</t>
        </is>
      </c>
      <c r="E8" s="33" t="n">
        <v>18420</v>
      </c>
      <c r="F8" s="34" t="n">
        <v>0</v>
      </c>
      <c r="G8" s="21" t="inlineStr">
        <is>
          <t>21,350 / 12,980 도 일치</t>
        </is>
      </c>
    </row>
    <row r="9" ht="26" customHeight="1">
      <c r="A9" s="32" t="n">
        <v>6</v>
      </c>
      <c r="B9" s="21" t="inlineStr">
        <is>
          <t>EBITDA FY2023~2026 1H (슬라이드3 = 슬라이드4 보고 EBITDA)</t>
        </is>
      </c>
      <c r="C9" s="33" t="n">
        <v>3280</v>
      </c>
      <c r="D9" s="21" t="inlineStr">
        <is>
          <t>IS_요약!B10:E10</t>
        </is>
      </c>
      <c r="E9" s="33" t="n">
        <v>3280</v>
      </c>
      <c r="F9" s="34" t="n">
        <v>0</v>
      </c>
      <c r="G9" s="21" t="inlineStr">
        <is>
          <t>2,170 / 2,800 / 3,280 / 1,680 전부 일치</t>
        </is>
      </c>
    </row>
    <row r="10" ht="26" customHeight="1">
      <c r="A10" s="32" t="n">
        <v>7</v>
      </c>
      <c r="B10" s="21" t="inlineStr">
        <is>
          <t>매출처별 합계 (슬라이드7)</t>
        </is>
      </c>
      <c r="C10" s="33" t="n">
        <v>24560</v>
      </c>
      <c r="D10" s="21" t="inlineStr">
        <is>
          <t>매출처별!B8 / Σ거래처</t>
        </is>
      </c>
      <c r="E10" s="33" t="n">
        <v>24560</v>
      </c>
      <c r="F10" s="34" t="n">
        <v>0</v>
      </c>
      <c r="G10" s="21" t="inlineStr">
        <is>
          <t>9,820+6,140+3,680+4,920</t>
        </is>
      </c>
    </row>
    <row r="11" ht="26" customHeight="1">
      <c r="A11" s="32" t="n">
        <v>8</v>
      </c>
      <c r="B11" s="21" t="inlineStr">
        <is>
          <t>단기차입금·장기차입금·현금 (슬라이드6)</t>
        </is>
      </c>
      <c r="C11" s="33" t="n">
        <v>2100</v>
      </c>
      <c r="D11" s="21" t="inlineStr">
        <is>
          <t>순차입금!B4·B5·B8</t>
        </is>
      </c>
      <c r="E11" s="33" t="n">
        <v>2100</v>
      </c>
      <c r="F11" s="34" t="n">
        <v>0</v>
      </c>
      <c r="G11" s="21" t="inlineStr">
        <is>
          <t>1,800 / −1,690 도 일치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2" customWidth="1" min="3" max="3"/>
    <col width="40" customWidth="1" min="4" max="4"/>
    <col width="11" customWidth="1" min="5" max="5"/>
  </cols>
  <sheetData>
    <row r="1">
      <c r="A1" s="18" t="inlineStr">
        <is>
          <t>검증 완료 — 이상 없음</t>
        </is>
      </c>
    </row>
    <row r="3">
      <c r="A3" s="19" t="inlineStr">
        <is>
          <t>No</t>
        </is>
      </c>
      <c r="B3" s="19" t="inlineStr">
        <is>
          <t>검증 항목</t>
        </is>
      </c>
      <c r="C3" s="19" t="inlineStr">
        <is>
          <t>검증 내용</t>
        </is>
      </c>
      <c r="D3" s="19" t="inlineStr">
        <is>
          <t>대사 자료</t>
        </is>
      </c>
      <c r="E3" s="19" t="inlineStr">
        <is>
          <t>결과</t>
        </is>
      </c>
    </row>
    <row r="4" ht="30" customHeight="1">
      <c r="A4" s="32" t="n">
        <v>1</v>
      </c>
      <c r="B4" s="21" t="inlineStr">
        <is>
          <t>요약 손익 표 (슬라이드3)</t>
        </is>
      </c>
      <c r="C4" s="21" t="inlineStr">
        <is>
          <t>매출원가·매출총이익·판관비·영업이익·D&amp;A·EBITDA 4개 기간 28개 수치</t>
        </is>
      </c>
      <c r="D4" s="21" t="inlineStr">
        <is>
          <t>IS_요약</t>
        </is>
      </c>
      <c r="E4" s="35" t="inlineStr">
        <is>
          <t>일치 (매출 FY2025 제외)</t>
        </is>
      </c>
    </row>
    <row r="5" ht="30" customHeight="1">
      <c r="A5" s="32" t="n">
        <v>2</v>
      </c>
      <c r="B5" s="21" t="inlineStr">
        <is>
          <t>조정 항목 (슬라이드4)</t>
        </is>
      </c>
      <c r="C5" s="21" t="inlineStr">
        <is>
          <t>소송합의금 180, 임차료 초과분 −60/−30, 정부보조금 −120, 재고평가손실 환입 −90</t>
        </is>
      </c>
      <c r="D5" s="21" t="inlineStr">
        <is>
          <t>QoE조정</t>
        </is>
      </c>
      <c r="E5" s="35" t="inlineStr">
        <is>
          <t>일치, 근거 메모 확인</t>
        </is>
      </c>
    </row>
    <row r="6" ht="30" customHeight="1">
      <c r="A6" s="32" t="n">
        <v>3</v>
      </c>
      <c r="B6" s="21" t="inlineStr">
        <is>
          <t>순운전자본 항목 (슬라이드5)</t>
        </is>
      </c>
      <c r="C6" s="21" t="inlineStr">
        <is>
          <t>매출채권·재고자산·매입채무·기타유동부채 4개 기간 16개 수치</t>
        </is>
      </c>
      <c r="D6" s="21" t="inlineStr">
        <is>
          <t>NWC</t>
        </is>
      </c>
      <c r="E6" s="35" t="inlineStr">
        <is>
          <t>일치</t>
        </is>
      </c>
    </row>
    <row r="7" ht="30" customHeight="1">
      <c r="A7" s="32" t="n">
        <v>4</v>
      </c>
      <c r="B7" s="21" t="inlineStr">
        <is>
          <t>매출처별 비중 (슬라이드7)</t>
        </is>
      </c>
      <c r="C7" s="21" t="inlineStr">
        <is>
          <t>40.0% / 25.0% / 15.0% / 20.0% = 각 매출 ÷ 24,560</t>
        </is>
      </c>
      <c r="D7" s="21" t="inlineStr">
        <is>
          <t>재계산</t>
        </is>
      </c>
      <c r="E7" s="35" t="inlineStr">
        <is>
          <t>일치</t>
        </is>
      </c>
    </row>
    <row r="8" ht="30" customHeight="1">
      <c r="A8" s="32" t="n">
        <v>5</v>
      </c>
      <c r="B8" s="21" t="inlineStr">
        <is>
          <t>상위 3개 거래처 비중 80.0% (슬라이드7 본문)</t>
        </is>
      </c>
      <c r="C8" s="21" t="inlineStr">
        <is>
          <t>(9,820+6,140+3,680) ÷ 24,560 = 80.0%</t>
        </is>
      </c>
      <c r="D8" s="21" t="inlineStr">
        <is>
          <t>재계산</t>
        </is>
      </c>
      <c r="E8" s="35" t="inlineStr">
        <is>
          <t>일치</t>
        </is>
      </c>
    </row>
    <row r="9" ht="30" customHeight="1">
      <c r="A9" s="32" t="n">
        <v>6</v>
      </c>
      <c r="B9" s="21" t="inlineStr">
        <is>
          <t>매출총이익률 30.0% → 31.1% (슬라이드3 본문)</t>
        </is>
      </c>
      <c r="C9" s="21" t="inlineStr">
        <is>
          <t>5,530÷18,420 = 30.0%, 7,640÷24,560 = 31.1% (조서 기준)</t>
        </is>
      </c>
      <c r="D9" s="21" t="inlineStr">
        <is>
          <t>재계산</t>
        </is>
      </c>
      <c r="E9" s="35" t="inlineStr">
        <is>
          <t>일치 — 단 표의 매출 24,650 기준이면 31.0%</t>
        </is>
      </c>
    </row>
    <row r="10" ht="30" customHeight="1">
      <c r="A10" s="32" t="n">
        <v>7</v>
      </c>
      <c r="B10" s="21" t="inlineStr">
        <is>
          <t>3개년 연평균 성장률 15.5% (슬라이드3 본문)</t>
        </is>
      </c>
      <c r="C10" s="21" t="inlineStr">
        <is>
          <t>(24,560÷18,420)^(1/2) − 1 = 15.5%</t>
        </is>
      </c>
      <c r="D10" s="21" t="inlineStr">
        <is>
          <t>재계산</t>
        </is>
      </c>
      <c r="E10" s="35" t="inlineStr">
        <is>
          <t>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2026-10-12T13:44:21Z</dcterms:created>
  <dcterms:modified xmlns:dcterms="http://purl.org/dc/terms/" xmlns:xsi="http://www.w3.org/2001/XMLSchema-instance" xsi:type="dcterms:W3CDTF">2026-10-12T13:44:21Z</dcterms:modified>
</cp:coreProperties>
</file>