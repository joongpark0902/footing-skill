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총괄표" sheetId="1" state="visible" r:id="rId1"/>
    <sheet xmlns:r="http://schemas.openxmlformats.org/officeDocument/2006/relationships" name="BS" sheetId="2" state="visible" r:id="rId2"/>
    <sheet xmlns:r="http://schemas.openxmlformats.org/officeDocument/2006/relationships" name="PL" sheetId="3" state="visible" r:id="rId3"/>
    <sheet xmlns:r="http://schemas.openxmlformats.org/officeDocument/2006/relationships" name="CE" sheetId="4" state="visible" r:id="rId4"/>
    <sheet xmlns:r="http://schemas.openxmlformats.org/officeDocument/2006/relationships" name="CF" sheetId="5" state="visible" r:id="rId5"/>
    <sheet xmlns:r="http://schemas.openxmlformats.org/officeDocument/2006/relationships" name="1" sheetId="6" state="visible" r:id="rId6"/>
    <sheet xmlns:r="http://schemas.openxmlformats.org/officeDocument/2006/relationships" name="2" sheetId="7" state="visible" r:id="rId7"/>
    <sheet xmlns:r="http://schemas.openxmlformats.org/officeDocument/2006/relationships" name="3" sheetId="8" state="visible" r:id="rId8"/>
    <sheet xmlns:r="http://schemas.openxmlformats.org/officeDocument/2006/relationships" name="4" sheetId="9" state="visible" r:id="rId9"/>
    <sheet xmlns:r="http://schemas.openxmlformats.org/officeDocument/2006/relationships" name="5" sheetId="10" state="visible" r:id="rId10"/>
    <sheet xmlns:r="http://schemas.openxmlformats.org/officeDocument/2006/relationships" name="6" sheetId="11" state="visible" r:id="rId11"/>
    <sheet xmlns:r="http://schemas.openxmlformats.org/officeDocument/2006/relationships" name="7" sheetId="12" state="visible" r:id="rId12"/>
    <sheet xmlns:r="http://schemas.openxmlformats.org/officeDocument/2006/relationships" name="8" sheetId="13" state="visible" r:id="rId13"/>
    <sheet xmlns:r="http://schemas.openxmlformats.org/officeDocument/2006/relationships" name="9" sheetId="14" state="visible" r:id="rId14"/>
    <sheet xmlns:r="http://schemas.openxmlformats.org/officeDocument/2006/relationships" name="10" sheetId="15" state="visible" r:id="rId15"/>
    <sheet xmlns:r="http://schemas.openxmlformats.org/officeDocument/2006/relationships" name="11" sheetId="16" state="visible" r:id="rId16"/>
    <sheet xmlns:r="http://schemas.openxmlformats.org/officeDocument/2006/relationships" name="12" sheetId="17" state="visible" r:id="rId17"/>
    <sheet xmlns:r="http://schemas.openxmlformats.org/officeDocument/2006/relationships" name="13" sheetId="18" state="visible" r:id="rId18"/>
    <sheet xmlns:r="http://schemas.openxmlformats.org/officeDocument/2006/relationships" name="14" sheetId="19" state="visible" r:id="rId19"/>
    <sheet xmlns:r="http://schemas.openxmlformats.org/officeDocument/2006/relationships" name="15" sheetId="20" state="visible" r:id="rId20"/>
    <sheet xmlns:r="http://schemas.openxmlformats.org/officeDocument/2006/relationships" name="16" sheetId="21" state="visible" r:id="rId21"/>
    <sheet xmlns:r="http://schemas.openxmlformats.org/officeDocument/2006/relationships" name="17" sheetId="22" state="visible" r:id="rId22"/>
    <sheet xmlns:r="http://schemas.openxmlformats.org/officeDocument/2006/relationships" name="18" sheetId="23" state="visible" r:id="rId23"/>
    <sheet xmlns:r="http://schemas.openxmlformats.org/officeDocument/2006/relationships" name="19" sheetId="24" state="visible" r:id="rId24"/>
    <sheet xmlns:r="http://schemas.openxmlformats.org/officeDocument/2006/relationships" name="20" sheetId="25" state="visible" r:id="rId25"/>
    <sheet xmlns:r="http://schemas.openxmlformats.org/officeDocument/2006/relationships" name="21" sheetId="26" state="visible" r:id="rId26"/>
    <sheet xmlns:r="http://schemas.openxmlformats.org/officeDocument/2006/relationships" name="22" sheetId="27" state="visible" r:id="rId27"/>
    <sheet xmlns:r="http://schemas.openxmlformats.org/officeDocument/2006/relationships" name="23" sheetId="28" state="visible" r:id="rId28"/>
    <sheet xmlns:r="http://schemas.openxmlformats.org/officeDocument/2006/relationships" name="24" sheetId="29" state="visible" r:id="rId29"/>
    <sheet xmlns:r="http://schemas.openxmlformats.org/officeDocument/2006/relationships" name="25" sheetId="30" state="visible" r:id="rId30"/>
    <sheet xmlns:r="http://schemas.openxmlformats.org/officeDocument/2006/relationships" name="26" sheetId="31" state="visible" r:id="rId31"/>
    <sheet xmlns:r="http://schemas.openxmlformats.org/officeDocument/2006/relationships" name="27" sheetId="32" state="visible" r:id="rId32"/>
    <sheet xmlns:r="http://schemas.openxmlformats.org/officeDocument/2006/relationships" name="28" sheetId="33" state="visible" r:id="rId33"/>
    <sheet xmlns:r="http://schemas.openxmlformats.org/officeDocument/2006/relationships" name="29" sheetId="34" state="visible" r:id="rId34"/>
    <sheet xmlns:r="http://schemas.openxmlformats.org/officeDocument/2006/relationships" name="30" sheetId="35" state="visible" r:id="rId35"/>
    <sheet xmlns:r="http://schemas.openxmlformats.org/officeDocument/2006/relationships" name="31" sheetId="36" state="visible" r:id="rId36"/>
    <sheet xmlns:r="http://schemas.openxmlformats.org/officeDocument/2006/relationships" name="32" sheetId="37" state="visible" r:id="rId37"/>
    <sheet xmlns:r="http://schemas.openxmlformats.org/officeDocument/2006/relationships" name="33" sheetId="38" state="visible" r:id="rId38"/>
    <sheet xmlns:r="http://schemas.openxmlformats.org/officeDocument/2006/relationships" name="34" sheetId="39" state="visible" r:id="rId39"/>
    <sheet xmlns:r="http://schemas.openxmlformats.org/officeDocument/2006/relationships" name="지적사항" sheetId="40" state="visible" r:id="rId40"/>
    <sheet xmlns:r="http://schemas.openxmlformats.org/officeDocument/2006/relationships" name="서술검산" sheetId="41" state="visible" r:id="rId41"/>
    <sheet xmlns:r="http://schemas.openxmlformats.org/officeDocument/2006/relationships" name="숫자대사" sheetId="42" state="visible" r:id="rId42"/>
    <sheet xmlns:r="http://schemas.openxmlformats.org/officeDocument/2006/relationships" name="검증완료" sheetId="43" state="visible" r:id="rId43"/>
  </sheets>
  <definedNames>
    <definedName name="_xlnm._FilterDatabase" localSheetId="39" hidden="1">'지적사항'!$A$3:$G$10</definedName>
  </definedNames>
  <calcPr calcId="124519" fullCalcOnLoad="1"/>
</workbook>
</file>

<file path=xl/styles.xml><?xml version="1.0" encoding="utf-8"?>
<styleSheet xmlns="http://schemas.openxmlformats.org/spreadsheetml/2006/main">
  <numFmts count="3">
    <numFmt numFmtId="164" formatCode="#,##0;(#,##0);&quot;-&quot;"/>
    <numFmt numFmtId="165" formatCode="0.0"/>
    <numFmt numFmtId="166" formatCode="0.000000"/>
  </numFmts>
  <fonts count="10">
    <font>
      <name val="Calibri"/>
      <family val="2"/>
      <color theme="1"/>
      <sz val="11"/>
      <scheme val="minor"/>
    </font>
    <font>
      <name val="맑은 고딕"/>
      <b val="1"/>
      <color rgb="00002060"/>
      <sz val="12"/>
    </font>
    <font>
      <name val="맑은 고딕"/>
      <sz val="9"/>
    </font>
    <font>
      <name val="맑은 고딕"/>
      <color rgb="000563C1"/>
      <sz val="9"/>
    </font>
    <font>
      <name val="맑은 고딕"/>
      <b val="1"/>
      <color rgb="00002060"/>
      <sz val="9"/>
    </font>
    <font>
      <name val="맑은 고딕"/>
      <b val="1"/>
      <sz val="9"/>
    </font>
    <font>
      <name val="맑은 고딕"/>
      <b val="1"/>
      <color rgb="00002060"/>
      <sz val="14"/>
    </font>
    <font>
      <name val="맑은 고딕"/>
      <sz val="8"/>
    </font>
    <font>
      <name val="맑은 고딕"/>
      <b val="1"/>
      <color rgb="00002060"/>
      <sz val="10"/>
    </font>
    <font>
      <name val="맑은 고딕"/>
      <b val="1"/>
      <sz val="10"/>
    </font>
  </fonts>
  <fills count="8">
    <fill>
      <patternFill/>
    </fill>
    <fill>
      <patternFill patternType="gray125"/>
    </fill>
    <fill>
      <patternFill patternType="solid">
        <fgColor rgb="00DDEBF7"/>
      </patternFill>
    </fill>
    <fill>
      <patternFill patternType="solid">
        <fgColor rgb="00F2F2F2"/>
      </patternFill>
    </fill>
    <fill>
      <patternFill patternType="solid">
        <fgColor rgb="00FFF2CC"/>
      </patternFill>
    </fill>
    <fill>
      <patternFill patternType="solid">
        <fgColor rgb="00DCE6F1"/>
      </patternFill>
    </fill>
    <fill>
      <patternFill patternType="solid">
        <fgColor rgb="00EDEDED"/>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6"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center"/>
    </xf>
    <xf numFmtId="0" fontId="3" fillId="0" borderId="1" pivotButton="0" quotePrefix="0" xfId="0"/>
    <xf numFmtId="164" fontId="2" fillId="0" borderId="1" applyAlignment="1" pivotButton="0" quotePrefix="0" xfId="0">
      <alignment horizontal="right" vertical="center"/>
    </xf>
    <xf numFmtId="0" fontId="5" fillId="3" borderId="1" applyAlignment="1" pivotButton="0" quotePrefix="0" xfId="0">
      <alignment vertical="center"/>
    </xf>
    <xf numFmtId="164" fontId="5" fillId="3" borderId="1" applyAlignment="1" pivotButton="0" quotePrefix="0" xfId="0">
      <alignment horizontal="right" vertical="center"/>
    </xf>
    <xf numFmtId="0" fontId="4" fillId="0" borderId="0" applyAlignment="1" pivotButton="0" quotePrefix="0" xfId="0">
      <alignment vertical="center"/>
    </xf>
    <xf numFmtId="0" fontId="5" fillId="0" borderId="1" applyAlignment="1" pivotButton="0" quotePrefix="0" xfId="0">
      <alignment horizontal="center" vertical="center" wrapText="1"/>
    </xf>
    <xf numFmtId="0" fontId="2" fillId="0" borderId="0" applyAlignment="1" pivotButton="0" quotePrefix="0" xfId="0">
      <alignment vertical="top" wrapText="1"/>
    </xf>
    <xf numFmtId="0" fontId="7" fillId="0" borderId="0" applyAlignment="1" pivotButton="0" quotePrefix="0" xfId="0">
      <alignment vertical="center"/>
    </xf>
    <xf numFmtId="0" fontId="1" fillId="0" borderId="0" applyAlignment="1" pivotButton="0" quotePrefix="0" xfId="0">
      <alignment vertical="center"/>
    </xf>
    <xf numFmtId="0" fontId="3" fillId="0" borderId="0" pivotButton="0" quotePrefix="0" xfId="0"/>
    <xf numFmtId="0" fontId="5" fillId="0" borderId="1" applyAlignment="1" pivotButton="0" quotePrefix="0" xfId="0">
      <alignment vertical="center"/>
    </xf>
    <xf numFmtId="164" fontId="2" fillId="4" borderId="1" applyAlignment="1" pivotButton="0" quotePrefix="0" xfId="0">
      <alignment horizontal="center" vertical="center"/>
    </xf>
    <xf numFmtId="0" fontId="5" fillId="3" borderId="1" applyAlignment="1" pivotButton="0" quotePrefix="0" xfId="0">
      <alignment horizontal="center" vertical="center" wrapText="1"/>
    </xf>
    <xf numFmtId="0" fontId="1" fillId="0" borderId="0" pivotButton="0" quotePrefix="0" xfId="0"/>
    <xf numFmtId="0" fontId="8"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2" fillId="0" borderId="1" applyAlignment="1" pivotButton="0" quotePrefix="0" xfId="0">
      <alignment vertical="top" wrapText="1"/>
    </xf>
    <xf numFmtId="164" fontId="2" fillId="0" borderId="1" pivotButton="0" quotePrefix="0" xfId="0"/>
    <xf numFmtId="165" fontId="2" fillId="0" borderId="1" applyAlignment="1" pivotButton="0" quotePrefix="0" xfId="0">
      <alignment horizontal="right" vertical="center"/>
    </xf>
    <xf numFmtId="165" fontId="2" fillId="0" borderId="1" pivotButton="0" quotePrefix="0" xfId="0"/>
    <xf numFmtId="0" fontId="2" fillId="0" borderId="1" applyAlignment="1" pivotButton="0" quotePrefix="0" xfId="0">
      <alignment horizontal="center" vertical="center"/>
    </xf>
    <xf numFmtId="3" fontId="2" fillId="0" borderId="1" applyAlignment="1" pivotButton="0" quotePrefix="0" xfId="0">
      <alignment horizontal="right" vertical="center"/>
    </xf>
    <xf numFmtId="166" fontId="2" fillId="0" borderId="1" applyAlignment="1" pivotButton="0" quotePrefix="0" xfId="0">
      <alignment horizontal="right" vertical="center"/>
    </xf>
    <xf numFmtId="0" fontId="2" fillId="7" borderId="1" applyAlignment="1" pivotButton="0" quotePrefix="0" xfId="0">
      <alignment horizontal="center" vertical="center"/>
    </xf>
  </cellXfs>
  <cellStyles count="1">
    <cellStyle name="Normal" xfId="0" builtinId="0" hidden="0"/>
  </cellStyles>
  <dxfs count="1">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K64"/>
  <sheetViews>
    <sheetView showGridLines="0" workbookViewId="0">
      <selection activeCell="A1" sqref="A1"/>
    </sheetView>
  </sheetViews>
  <sheetFormatPr baseColWidth="8" defaultRowHeight="15"/>
  <cols>
    <col width="8" customWidth="1" min="2" max="2"/>
    <col width="40" customWidth="1" min="3" max="3"/>
    <col width="14" customWidth="1" min="4" max="4"/>
    <col width="11" customWidth="1" min="5" max="5"/>
    <col width="11" customWidth="1" min="6" max="6"/>
    <col width="12" customWidth="1" min="7" max="7"/>
    <col width="11" customWidth="1" min="8" max="8"/>
    <col width="11" customWidth="1" min="9" max="9"/>
    <col width="12" customWidth="1" min="10" max="10"/>
    <col width="12" customWidth="1" min="11" max="11"/>
  </cols>
  <sheetData>
    <row r="2">
      <c r="B2" s="1" t="inlineStr">
        <is>
          <t>(주)케이씨에스 풋팅 검증 워크북</t>
        </is>
      </c>
    </row>
    <row r="3">
      <c r="B3" s="2" t="inlineStr">
        <is>
          <t>케이씨에스_FY2025_감사보고서.xml</t>
        </is>
      </c>
    </row>
    <row r="4">
      <c r="B4" s="2" t="inlineStr">
        <is>
          <t>검증 대상: 재무상태표, 손익계산서, 자본변동표, 현금흐름표 / 주석 34개</t>
        </is>
      </c>
    </row>
    <row r="6">
      <c r="B6" s="3" t="inlineStr">
        <is>
          <t>시트</t>
        </is>
      </c>
      <c r="C6" s="3" t="inlineStr">
        <is>
          <t>제        목</t>
        </is>
      </c>
      <c r="D6" s="3" t="inlineStr">
        <is>
          <t>링크</t>
        </is>
      </c>
      <c r="E6" s="3" t="inlineStr">
        <is>
          <t>푸팅 오류</t>
        </is>
      </c>
      <c r="F6" s="3" t="inlineStr">
        <is>
          <t>산식 오류</t>
        </is>
      </c>
      <c r="G6" s="3" t="inlineStr">
        <is>
          <t>크로스 오류</t>
        </is>
      </c>
      <c r="H6" s="3" t="inlineStr">
        <is>
          <t>조서 차이</t>
        </is>
      </c>
      <c r="I6" s="3" t="inlineStr">
        <is>
          <t>전기 차이</t>
        </is>
      </c>
      <c r="J6" s="3" t="inlineStr">
        <is>
          <t>구조 미인식</t>
        </is>
      </c>
      <c r="K6" s="3" t="inlineStr">
        <is>
          <t>조서 미매칭</t>
        </is>
      </c>
    </row>
    <row r="7">
      <c r="B7" s="4" t="inlineStr">
        <is>
          <t>BS</t>
        </is>
      </c>
      <c r="C7" s="5" t="inlineStr">
        <is>
          <t>재무상태표</t>
        </is>
      </c>
      <c r="D7" s="6">
        <f>HYPERLINK("#'BS'!A1","바로가기")</f>
        <v/>
      </c>
      <c r="E7" s="7">
        <f>SUMPRODUCT(--ISNUMBER('BS'!B46:B49))+SUMPRODUCT(--ISNUMBER('BS'!C46:C49))</f>
        <v/>
      </c>
      <c r="F7" s="7">
        <f>SUMPRODUCT(--ISNUMBER('BS'!B52:B55))+SUMPRODUCT(--ISNUMBER('BS'!C52:C55))</f>
        <v/>
      </c>
      <c r="G7" s="7" t="n">
        <v>0</v>
      </c>
      <c r="H7" s="7" t="n">
        <v>0</v>
      </c>
      <c r="I7" s="7" t="n">
        <v>0</v>
      </c>
      <c r="J7" s="7" t="n">
        <v>0</v>
      </c>
      <c r="K7" s="7" t="n">
        <v>0</v>
      </c>
    </row>
    <row r="8">
      <c r="B8" s="4" t="inlineStr">
        <is>
          <t>PL</t>
        </is>
      </c>
      <c r="C8" s="5" t="inlineStr">
        <is>
          <t>손익계산서</t>
        </is>
      </c>
      <c r="D8" s="6">
        <f>HYPERLINK("#'PL'!A1","바로가기")</f>
        <v/>
      </c>
      <c r="E8" s="7">
        <f>SUMPRODUCT(--ISNUMBER('PL'!B29:B29))+SUMPRODUCT(--ISNUMBER('PL'!C29:C29))</f>
        <v/>
      </c>
      <c r="F8" s="7">
        <f>SUMPRODUCT(--ISNUMBER('PL'!B32:B37))+SUMPRODUCT(--ISNUMBER('PL'!C32:C37))</f>
        <v/>
      </c>
      <c r="G8" s="7" t="n">
        <v>0</v>
      </c>
      <c r="H8" s="7" t="n">
        <v>0</v>
      </c>
      <c r="I8" s="7" t="n">
        <v>0</v>
      </c>
      <c r="J8" s="7" t="n">
        <v>0</v>
      </c>
      <c r="K8" s="7" t="n">
        <v>0</v>
      </c>
    </row>
    <row r="9">
      <c r="B9" s="4" t="inlineStr">
        <is>
          <t>CE</t>
        </is>
      </c>
      <c r="C9" s="5" t="inlineStr">
        <is>
          <t>자본변동표</t>
        </is>
      </c>
      <c r="D9" s="6">
        <f>HYPERLINK("#'CE'!A1","바로가기")</f>
        <v/>
      </c>
      <c r="E9" s="7">
        <f>SUMPRODUCT(--ISNUMBER('CE'!B32:B34))+SUMPRODUCT(--ISNUMBER('CE'!C32:C34))+SUMPRODUCT(--ISNUMBER('CE'!D32:D34))+SUMPRODUCT(--ISNUMBER('CE'!E32:E34))+SUMPRODUCT(--ISNUMBER('CE'!F32:F34))+SUMPRODUCT(--ISNUMBER('CE'!G32:G34))+SUMPRODUCT(--ISNUMBER('CE'!H6:H6))+SUMPRODUCT(--ISNUMBER('CE'!H8:H8))+SUMPRODUCT(--ISNUMBER('CE'!H10:H12))+SUMPRODUCT(--ISNUMBER('CE'!H15:H18))+SUMPRODUCT(--ISNUMBER('CE'!H20:H20))+SUMPRODUCT(--ISNUMBER('CE'!H22:H24))+SUMPRODUCT(--ISNUMBER('CE'!H27:H29))</f>
        <v/>
      </c>
      <c r="F9" s="7" t="n">
        <v>0</v>
      </c>
      <c r="G9" s="7">
        <f>SUMPRODUCT(--ISNUMBER('CE'!B37:B39))</f>
        <v/>
      </c>
      <c r="H9" s="7" t="n">
        <v>0</v>
      </c>
      <c r="I9" s="7" t="n">
        <v>0</v>
      </c>
      <c r="J9" s="7" t="n">
        <v>0</v>
      </c>
      <c r="K9" s="7" t="n">
        <v>0</v>
      </c>
    </row>
    <row r="10">
      <c r="B10" s="4" t="inlineStr">
        <is>
          <t>CF</t>
        </is>
      </c>
      <c r="C10" s="5" t="inlineStr">
        <is>
          <t>현금흐름표</t>
        </is>
      </c>
      <c r="D10" s="6">
        <f>HYPERLINK("#'CF'!A1","바로가기")</f>
        <v/>
      </c>
      <c r="E10" s="7">
        <f>SUMPRODUCT(--ISNUMBER('CF'!B34:B36))+SUMPRODUCT(--ISNUMBER('CF'!C34:C36))</f>
        <v/>
      </c>
      <c r="F10" s="7">
        <f>SUMPRODUCT(--ISNUMBER('CF'!B39:B40))+SUMPRODUCT(--ISNUMBER('CF'!C39:C40))</f>
        <v/>
      </c>
      <c r="G10" s="7" t="n">
        <v>0</v>
      </c>
      <c r="H10" s="7" t="n">
        <v>0</v>
      </c>
      <c r="I10" s="7" t="n">
        <v>0</v>
      </c>
      <c r="J10" s="7" t="n">
        <v>0</v>
      </c>
      <c r="K10" s="7" t="n">
        <v>0</v>
      </c>
    </row>
    <row r="11">
      <c r="B11" s="4" t="inlineStr">
        <is>
          <t>1</t>
        </is>
      </c>
      <c r="C11" s="5" t="inlineStr">
        <is>
          <t>1. 회사의 개요</t>
        </is>
      </c>
      <c r="D11" s="6">
        <f>HYPERLINK("#'1'!A1","바로가기")</f>
        <v/>
      </c>
      <c r="E11" s="7">
        <f>SUMPRODUCT(--ISNUMBER('1'!B10:B10))+SUMPRODUCT(--ISNUMBER('1'!D10:D10))</f>
        <v/>
      </c>
      <c r="F11" s="7" t="n">
        <v>0</v>
      </c>
      <c r="G11" s="7" t="n">
        <v>0</v>
      </c>
      <c r="H11" s="7" t="n">
        <v>0</v>
      </c>
      <c r="I11" s="7" t="n">
        <v>0</v>
      </c>
      <c r="J11" s="7" t="n">
        <v>0</v>
      </c>
      <c r="K11" s="7" t="n">
        <v>0</v>
      </c>
    </row>
    <row r="12">
      <c r="B12" s="4" t="inlineStr">
        <is>
          <t>2</t>
        </is>
      </c>
      <c r="C12" s="5" t="inlineStr">
        <is>
          <t>2. 중요한 회계정책</t>
        </is>
      </c>
      <c r="D12" s="6">
        <f>HYPERLINK("#'2'!A1","바로가기")</f>
        <v/>
      </c>
      <c r="E12" s="7" t="n">
        <v>0</v>
      </c>
      <c r="F12" s="7" t="n">
        <v>0</v>
      </c>
      <c r="G12" s="7" t="n">
        <v>0</v>
      </c>
      <c r="H12" s="7" t="n">
        <v>0</v>
      </c>
      <c r="I12" s="7" t="n">
        <v>0</v>
      </c>
      <c r="J12" s="7" t="n">
        <v>0</v>
      </c>
      <c r="K12" s="7" t="n">
        <v>0</v>
      </c>
    </row>
    <row r="13">
      <c r="B13" s="4" t="inlineStr">
        <is>
          <t>3</t>
        </is>
      </c>
      <c r="C13" s="5" t="inlineStr">
        <is>
          <t>3. 중요한 회계추정 및 가정</t>
        </is>
      </c>
      <c r="D13" s="6">
        <f>HYPERLINK("#'3'!A1","바로가기")</f>
        <v/>
      </c>
      <c r="E13" s="7" t="n">
        <v>0</v>
      </c>
      <c r="F13" s="7" t="n">
        <v>0</v>
      </c>
      <c r="G13" s="7" t="n">
        <v>0</v>
      </c>
      <c r="H13" s="7" t="n">
        <v>0</v>
      </c>
      <c r="I13" s="7" t="n">
        <v>0</v>
      </c>
      <c r="J13" s="7" t="n">
        <v>0</v>
      </c>
      <c r="K13" s="7" t="n">
        <v>0</v>
      </c>
    </row>
    <row r="14">
      <c r="B14" s="4" t="inlineStr">
        <is>
          <t>4</t>
        </is>
      </c>
      <c r="C14" s="5" t="inlineStr">
        <is>
          <t>4. 재무위험관리</t>
        </is>
      </c>
      <c r="D14" s="6">
        <f>HYPERLINK("#'4'!A1","바로가기")</f>
        <v/>
      </c>
      <c r="E14" s="7">
        <f>SUMPRODUCT(--ISNUMBER('4'!B60:B60))+SUMPRODUCT(--ISNUMBER('4'!B70:B70))+SUMPRODUCT(--ISNUMBER('4'!B83:B83))+SUMPRODUCT(--ISNUMBER('4'!B93:B93))+SUMPRODUCT(--ISNUMBER('4'!C51:C51))+SUMPRODUCT(--ISNUMBER('4'!C60:C60))+SUMPRODUCT(--ISNUMBER('4'!C70:C70))+SUMPRODUCT(--ISNUMBER('4'!C83:C83))+SUMPRODUCT(--ISNUMBER('4'!C93:C93))+SUMPRODUCT(--ISNUMBER('4'!D51:D51))+SUMPRODUCT(--ISNUMBER('4'!D60:D60))+SUMPRODUCT(--ISNUMBER('4'!D70:D70))+SUMPRODUCT(--ISNUMBER('4'!D83:D83))+SUMPRODUCT(--ISNUMBER('4'!D93:D93))+SUMPRODUCT(--ISNUMBER('4'!E60:E60))+SUMPRODUCT(--ISNUMBER('4'!E70:E70))+SUMPRODUCT(--ISNUMBER('4'!E83:E83))+SUMPRODUCT(--ISNUMBER('4'!E93:E93))+SUMPRODUCT(--ISNUMBER('4'!F51:F51))+SUMPRODUCT(--ISNUMBER('4'!F93:F93))+SUMPRODUCT(--ISNUMBER('4'!G51:G51))</f>
        <v/>
      </c>
      <c r="F14" s="7" t="n">
        <v>0</v>
      </c>
      <c r="G14" s="7">
        <f>SUMPRODUCT(--ISNUMBER('4'!B108:B109))</f>
        <v/>
      </c>
      <c r="H14" s="7" t="n">
        <v>0</v>
      </c>
      <c r="I14" s="7" t="n">
        <v>0</v>
      </c>
      <c r="J14" s="7" t="n">
        <v>0</v>
      </c>
      <c r="K14" s="7" t="n">
        <v>0</v>
      </c>
    </row>
    <row r="15">
      <c r="B15" s="4" t="inlineStr">
        <is>
          <t>5</t>
        </is>
      </c>
      <c r="C15" s="5" t="inlineStr">
        <is>
          <t>5. 금융상품 공정가치</t>
        </is>
      </c>
      <c r="D15" s="6">
        <f>HYPERLINK("#'5'!A1","바로가기")</f>
        <v/>
      </c>
      <c r="E15" s="7">
        <f>SUMPRODUCT(--ISNUMBER('5'!B34:B34))+SUMPRODUCT(--ISNUMBER('5'!C34:C34))</f>
        <v/>
      </c>
      <c r="F15" s="7" t="n">
        <v>0</v>
      </c>
      <c r="G15" s="7" t="n">
        <v>0</v>
      </c>
      <c r="H15" s="7" t="n">
        <v>0</v>
      </c>
      <c r="I15" s="7" t="n">
        <v>0</v>
      </c>
      <c r="J15" s="7" t="n">
        <v>0</v>
      </c>
      <c r="K15" s="7" t="n">
        <v>0</v>
      </c>
    </row>
    <row r="16">
      <c r="B16" s="4" t="inlineStr">
        <is>
          <t>6</t>
        </is>
      </c>
      <c r="C16" s="5" t="inlineStr">
        <is>
          <t>6. 범주별 금융상품</t>
        </is>
      </c>
      <c r="D16" s="6">
        <f>HYPERLINK("#'6'!A1","바로가기")</f>
        <v/>
      </c>
      <c r="E16" s="7">
        <f>SUMPRODUCT(--ISNUMBER('6'!B13:B13))+SUMPRODUCT(--ISNUMBER('6'!B24:B24))+SUMPRODUCT(--ISNUMBER('6'!B45:B45))+SUMPRODUCT(--ISNUMBER('6'!C13:C13))+SUMPRODUCT(--ISNUMBER('6'!C24:C24))+SUMPRODUCT(--ISNUMBER('6'!C45:C45))+SUMPRODUCT(--ISNUMBER('6'!D13:D13))+SUMPRODUCT(--ISNUMBER('6'!D24:D24))+SUMPRODUCT(--ISNUMBER('6'!E13:E13))+SUMPRODUCT(--ISNUMBER('6'!E24:E24))</f>
        <v/>
      </c>
      <c r="F16" s="7" t="n">
        <v>0</v>
      </c>
      <c r="G16" s="7" t="n">
        <v>0</v>
      </c>
      <c r="H16" s="7" t="n">
        <v>0</v>
      </c>
      <c r="I16" s="7" t="n">
        <v>0</v>
      </c>
      <c r="J16" s="7" t="n">
        <v>0</v>
      </c>
      <c r="K16" s="7" t="n">
        <v>0</v>
      </c>
    </row>
    <row r="17">
      <c r="B17" s="4" t="inlineStr">
        <is>
          <t>7</t>
        </is>
      </c>
      <c r="C17" s="5" t="inlineStr">
        <is>
          <t>7. 영업부문</t>
        </is>
      </c>
      <c r="D17" s="6">
        <f>HYPERLINK("#'7'!A1","바로가기")</f>
        <v/>
      </c>
      <c r="E17" s="7" t="n">
        <v>0</v>
      </c>
      <c r="F17" s="7" t="n">
        <v>0</v>
      </c>
      <c r="G17" s="7" t="n">
        <v>0</v>
      </c>
      <c r="H17" s="7" t="n">
        <v>0</v>
      </c>
      <c r="I17" s="7" t="n">
        <v>0</v>
      </c>
      <c r="J17" s="7" t="n">
        <v>0</v>
      </c>
      <c r="K17" s="7" t="n">
        <v>0</v>
      </c>
    </row>
    <row r="18">
      <c r="B18" s="4" t="inlineStr">
        <is>
          <t>8</t>
        </is>
      </c>
      <c r="C18" s="5" t="inlineStr">
        <is>
          <t>8. 현금및현금성자산</t>
        </is>
      </c>
      <c r="D18" s="6">
        <f>HYPERLINK("#'8'!A1","바로가기")</f>
        <v/>
      </c>
      <c r="E18" s="7">
        <f>SUMPRODUCT(--ISNUMBER('8'!B9:B9))+SUMPRODUCT(--ISNUMBER('8'!C9:C9))</f>
        <v/>
      </c>
      <c r="F18" s="7" t="n">
        <v>0</v>
      </c>
      <c r="G18" s="7">
        <f>SUMPRODUCT(--ISNUMBER('8'!B13:B13))</f>
        <v/>
      </c>
      <c r="H18" s="7" t="n">
        <v>0</v>
      </c>
      <c r="I18" s="7" t="n">
        <v>0</v>
      </c>
      <c r="J18" s="7" t="n">
        <v>0</v>
      </c>
      <c r="K18" s="7" t="n">
        <v>0</v>
      </c>
    </row>
    <row r="19">
      <c r="B19" s="4" t="inlineStr">
        <is>
          <t>9</t>
        </is>
      </c>
      <c r="C19" s="5" t="inlineStr">
        <is>
          <t>9. 매출채권, 계약자산 및 기타 상각후원가 측정 금융자산</t>
        </is>
      </c>
      <c r="D19" s="6">
        <f>HYPERLINK("#'9'!A1","바로가기")</f>
        <v/>
      </c>
      <c r="E19" s="7">
        <f>SUMPRODUCT(--ISNUMBER('9'!B21:B22))+SUMPRODUCT(--ISNUMBER('9'!C21:C22))+SUMPRODUCT(--ISNUMBER('9'!D21:D22))+SUMPRODUCT(--ISNUMBER('9'!E21:E22))+SUMPRODUCT(--ISNUMBER('9'!F21:F22))+SUMPRODUCT(--ISNUMBER('9'!G21:G22))</f>
        <v/>
      </c>
      <c r="F19" s="7" t="n">
        <v>0</v>
      </c>
      <c r="G19" s="7">
        <f>SUMPRODUCT(--ISNUMBER('9'!B28:B29))</f>
        <v/>
      </c>
      <c r="H19" s="7" t="n">
        <v>0</v>
      </c>
      <c r="I19" s="7" t="n">
        <v>0</v>
      </c>
      <c r="J19" s="7" t="n">
        <v>0</v>
      </c>
      <c r="K19" s="7" t="n">
        <v>0</v>
      </c>
    </row>
    <row r="20">
      <c r="B20" s="4" t="inlineStr">
        <is>
          <t>10</t>
        </is>
      </c>
      <c r="C20" s="5" t="inlineStr">
        <is>
          <t>10. 기타자산</t>
        </is>
      </c>
      <c r="D20" s="6">
        <f>HYPERLINK("#'10'!A1","바로가기")</f>
        <v/>
      </c>
      <c r="E20" s="7">
        <f>SUMPRODUCT(--ISNUMBER('10'!B10:B10))+SUMPRODUCT(--ISNUMBER('10'!C10:C10))+SUMPRODUCT(--ISNUMBER('10'!D10:D10))+SUMPRODUCT(--ISNUMBER('10'!E10:E10))</f>
        <v/>
      </c>
      <c r="F20" s="7" t="n">
        <v>0</v>
      </c>
      <c r="G20" s="7">
        <f>SUMPRODUCT(--ISNUMBER('10'!B14:B15))</f>
        <v/>
      </c>
      <c r="H20" s="7" t="n">
        <v>0</v>
      </c>
      <c r="I20" s="7" t="n">
        <v>0</v>
      </c>
      <c r="J20" s="7" t="n">
        <v>0</v>
      </c>
      <c r="K20" s="7" t="n">
        <v>0</v>
      </c>
    </row>
    <row r="21">
      <c r="B21" s="4" t="inlineStr">
        <is>
          <t>11</t>
        </is>
      </c>
      <c r="C21" s="5" t="inlineStr">
        <is>
          <t>11. 재고자산</t>
        </is>
      </c>
      <c r="D21" s="6">
        <f>HYPERLINK("#'11'!A1","바로가기")</f>
        <v/>
      </c>
      <c r="E21" s="7" t="n">
        <v>0</v>
      </c>
      <c r="F21" s="7" t="n">
        <v>0</v>
      </c>
      <c r="G21" s="7">
        <f>SUMPRODUCT(--ISNUMBER('11'!B12:B12))</f>
        <v/>
      </c>
      <c r="H21" s="7" t="n">
        <v>0</v>
      </c>
      <c r="I21" s="7" t="n">
        <v>0</v>
      </c>
      <c r="J21" s="7" t="n">
        <v>0</v>
      </c>
      <c r="K21" s="7" t="n">
        <v>0</v>
      </c>
    </row>
    <row r="22">
      <c r="B22" s="4" t="inlineStr">
        <is>
          <t>12</t>
        </is>
      </c>
      <c r="C22" s="5" t="inlineStr">
        <is>
          <t>12. 공정가치 측정 금융자산</t>
        </is>
      </c>
      <c r="D22" s="6">
        <f>HYPERLINK("#'12'!A1","바로가기")</f>
        <v/>
      </c>
      <c r="E22" s="7">
        <f>SUMPRODUCT(--ISNUMBER('12'!B21:B21))+SUMPRODUCT(--ISNUMBER('12'!B31:B31))+SUMPRODUCT(--ISNUMBER('12'!B39:B39))+SUMPRODUCT(--ISNUMBER('12'!C10:C10))+SUMPRODUCT(--ISNUMBER('12'!C21:C21))+SUMPRODUCT(--ISNUMBER('12'!C31:C31))+SUMPRODUCT(--ISNUMBER('12'!C39:C39))+SUMPRODUCT(--ISNUMBER('12'!D10:D10))+SUMPRODUCT(--ISNUMBER('12'!E10:E10))+SUMPRODUCT(--ISNUMBER('12'!F10:F10))</f>
        <v/>
      </c>
      <c r="F22" s="7" t="n">
        <v>0</v>
      </c>
      <c r="G22" s="7" t="n">
        <v>0</v>
      </c>
      <c r="H22" s="7" t="n">
        <v>0</v>
      </c>
      <c r="I22" s="7" t="n">
        <v>0</v>
      </c>
      <c r="J22" s="7" t="n">
        <v>0</v>
      </c>
      <c r="K22" s="7" t="n">
        <v>0</v>
      </c>
    </row>
    <row r="23">
      <c r="B23" s="4" t="inlineStr">
        <is>
          <t>13</t>
        </is>
      </c>
      <c r="C23" s="5" t="inlineStr">
        <is>
          <t>13. 유형자산</t>
        </is>
      </c>
      <c r="D23" s="6">
        <f>HYPERLINK("#'13'!A1","바로가기")</f>
        <v/>
      </c>
      <c r="E23" s="7">
        <f>SUMPRODUCT(--ISNUMBER('13'!B10:B10))+SUMPRODUCT(--ISNUMBER('13'!B18:B18))+SUMPRODUCT(--ISNUMBER('13'!B28:B28))+SUMPRODUCT(--ISNUMBER('13'!B37:B37))+SUMPRODUCT(--ISNUMBER('13'!B45:B45))+SUMPRODUCT(--ISNUMBER('13'!C10:C10))+SUMPRODUCT(--ISNUMBER('13'!C18:C18))+SUMPRODUCT(--ISNUMBER('13'!C28:C28))+SUMPRODUCT(--ISNUMBER('13'!C37:C37))+SUMPRODUCT(--ISNUMBER('13'!C45:C45))+SUMPRODUCT(--ISNUMBER('13'!D10:D10))+SUMPRODUCT(--ISNUMBER('13'!D18:D18))+SUMPRODUCT(--ISNUMBER('13'!D28:D28))+SUMPRODUCT(--ISNUMBER('13'!D37:D37))+SUMPRODUCT(--ISNUMBER('13'!E10:E10))+SUMPRODUCT(--ISNUMBER('13'!E18:E18))+SUMPRODUCT(--ISNUMBER('13'!E28:E28))+SUMPRODUCT(--ISNUMBER('13'!E37:E37))+SUMPRODUCT(--ISNUMBER('13'!F10:F10))+SUMPRODUCT(--ISNUMBER('13'!F18:F18))+SUMPRODUCT(--ISNUMBER('13'!F28:F28))+SUMPRODUCT(--ISNUMBER('13'!F37:F37))+SUMPRODUCT(--ISNUMBER('13'!G10:G10))+SUMPRODUCT(--ISNUMBER('13'!G18:G18))+SUMPRODUCT(--ISNUMBER('13'!G28:G28))+SUMPRODUCT(--ISNUMBER('13'!G37:G37))+SUMPRODUCT(--ISNUMBER('13'!H10:H10))+SUMPRODUCT(--ISNUMBER('13'!H18:H18))+SUMPRODUCT(--ISNUMBER('13'!H28:H28))+SUMPRODUCT(--ISNUMBER('13'!H37:H37))+SUMPRODUCT(--ISNUMBER('13'!I10:I10))+SUMPRODUCT(--ISNUMBER('13'!I18:I18))+SUMPRODUCT(--ISNUMBER('13'!I28:I28))+SUMPRODUCT(--ISNUMBER('13'!I37:I37))</f>
        <v/>
      </c>
      <c r="F23" s="7" t="n">
        <v>0</v>
      </c>
      <c r="G23" s="7">
        <f>SUMPRODUCT(--ISNUMBER('13'!B50:B50))</f>
        <v/>
      </c>
      <c r="H23" s="7" t="n">
        <v>0</v>
      </c>
      <c r="I23" s="7" t="n">
        <v>0</v>
      </c>
      <c r="J23" s="7" t="n">
        <v>0</v>
      </c>
      <c r="K23" s="7" t="n">
        <v>0</v>
      </c>
    </row>
    <row r="24">
      <c r="B24" s="4" t="inlineStr">
        <is>
          <t>14</t>
        </is>
      </c>
      <c r="C24" s="5" t="inlineStr">
        <is>
          <t>14. 리스</t>
        </is>
      </c>
      <c r="D24" s="6">
        <f>HYPERLINK("#'14'!A1","바로가기")</f>
        <v/>
      </c>
      <c r="E24" s="7">
        <f>SUMPRODUCT(--ISNUMBER('14'!B10:B10))+SUMPRODUCT(--ISNUMBER('14'!B19:B19))+SUMPRODUCT(--ISNUMBER('14'!B28:B28))+SUMPRODUCT(--ISNUMBER('14'!B37:B37))+SUMPRODUCT(--ISNUMBER('14'!B47:B47))+SUMPRODUCT(--ISNUMBER('14'!C19:C19))+SUMPRODUCT(--ISNUMBER('14'!C37:C37))+SUMPRODUCT(--ISNUMBER('14'!C47:C47))+SUMPRODUCT(--ISNUMBER('14'!D10:D10))+SUMPRODUCT(--ISNUMBER('14'!D19:D19))+SUMPRODUCT(--ISNUMBER('14'!D28:D28))+SUMPRODUCT(--ISNUMBER('14'!D37:D37))+SUMPRODUCT(--ISNUMBER('14'!E10:E10))+SUMPRODUCT(--ISNUMBER('14'!E19:E19))+SUMPRODUCT(--ISNUMBER('14'!E28:E28))+SUMPRODUCT(--ISNUMBER('14'!E37:E37))+SUMPRODUCT(--ISNUMBER('14'!F7:F9))+SUMPRODUCT(--ISNUMBER('14'!F16:F18))+SUMPRODUCT(--ISNUMBER('14'!F28:F28))+SUMPRODUCT(--ISNUMBER('14'!F37:F37))+SUMPRODUCT(--ISNUMBER('14'!G28:G28))+SUMPRODUCT(--ISNUMBER('14'!G37:G37))+SUMPRODUCT(--ISNUMBER('14'!H37:H37))+SUMPRODUCT(--ISNUMBER('14'!I25:I27))+SUMPRODUCT(--ISNUMBER('14'!I34:I36))</f>
        <v/>
      </c>
      <c r="F24" s="7" t="n">
        <v>0</v>
      </c>
      <c r="G24" s="7">
        <f>SUMPRODUCT(--ISNUMBER('14'!B52:B52))</f>
        <v/>
      </c>
      <c r="H24" s="7" t="n">
        <v>0</v>
      </c>
      <c r="I24" s="7" t="n">
        <v>0</v>
      </c>
      <c r="J24" s="7" t="n">
        <v>0</v>
      </c>
      <c r="K24" s="7" t="n">
        <v>0</v>
      </c>
    </row>
    <row r="25">
      <c r="B25" s="4" t="inlineStr">
        <is>
          <t>15</t>
        </is>
      </c>
      <c r="C25" s="5" t="inlineStr">
        <is>
          <t>15. 무형자산</t>
        </is>
      </c>
      <c r="D25" s="6">
        <f>HYPERLINK("#'15'!A1","바로가기")</f>
        <v/>
      </c>
      <c r="E25" s="7">
        <f>SUMPRODUCT(--ISNUMBER('15'!B9:B9))+SUMPRODUCT(--ISNUMBER('15'!C9:C9))</f>
        <v/>
      </c>
      <c r="F25" s="7" t="n">
        <v>0</v>
      </c>
      <c r="G25" s="7">
        <f>SUMPRODUCT(--ISNUMBER('15'!B14:B14))</f>
        <v/>
      </c>
      <c r="H25" s="7" t="n">
        <v>0</v>
      </c>
      <c r="I25" s="7" t="n">
        <v>0</v>
      </c>
      <c r="J25" s="7" t="n">
        <v>0</v>
      </c>
      <c r="K25" s="7" t="n">
        <v>0</v>
      </c>
    </row>
    <row r="26">
      <c r="B26" s="4" t="inlineStr">
        <is>
          <t>16</t>
        </is>
      </c>
      <c r="C26" s="5" t="inlineStr">
        <is>
          <t>16. 매입채무 및 기타지급채무</t>
        </is>
      </c>
      <c r="D26" s="6">
        <f>HYPERLINK("#'16'!A1","바로가기")</f>
        <v/>
      </c>
      <c r="E26" s="7">
        <f>SUMPRODUCT(--ISNUMBER('16'!B12:B13))+SUMPRODUCT(--ISNUMBER('16'!C12:C13))</f>
        <v/>
      </c>
      <c r="F26" s="7" t="n">
        <v>0</v>
      </c>
      <c r="G26" s="7">
        <f>SUMPRODUCT(--ISNUMBER('16'!B17:B18))</f>
        <v/>
      </c>
      <c r="H26" s="7" t="n">
        <v>0</v>
      </c>
      <c r="I26" s="7" t="n">
        <v>0</v>
      </c>
      <c r="J26" s="7" t="n">
        <v>0</v>
      </c>
      <c r="K26" s="7" t="n">
        <v>0</v>
      </c>
    </row>
    <row r="27">
      <c r="B27" s="4" t="inlineStr">
        <is>
          <t>17</t>
        </is>
      </c>
      <c r="C27" s="5" t="inlineStr">
        <is>
          <t>17. 기타부채</t>
        </is>
      </c>
      <c r="D27" s="6">
        <f>HYPERLINK("#'17'!A1","바로가기")</f>
        <v/>
      </c>
      <c r="E27" s="7">
        <f>SUMPRODUCT(--ISNUMBER('17'!B16:B17))+SUMPRODUCT(--ISNUMBER('17'!B30:B30))+SUMPRODUCT(--ISNUMBER('17'!C16:C17))+SUMPRODUCT(--ISNUMBER('17'!C29:C30))+SUMPRODUCT(--ISNUMBER('17'!D29:D30))+SUMPRODUCT(--ISNUMBER('17'!E29:E30))+SUMPRODUCT(--ISNUMBER('17'!F23:F25))+SUMPRODUCT(--ISNUMBER('17'!F28:F28))</f>
        <v/>
      </c>
      <c r="F27" s="7" t="n">
        <v>0</v>
      </c>
      <c r="G27" s="7">
        <f>SUMPRODUCT(--ISNUMBER('17'!B35:B35))</f>
        <v/>
      </c>
      <c r="H27" s="7" t="n">
        <v>0</v>
      </c>
      <c r="I27" s="7" t="n">
        <v>0</v>
      </c>
      <c r="J27" s="7" t="n">
        <v>0</v>
      </c>
      <c r="K27" s="7" t="n">
        <v>0</v>
      </c>
    </row>
    <row r="28">
      <c r="B28" s="4" t="inlineStr">
        <is>
          <t>18</t>
        </is>
      </c>
      <c r="C28" s="5" t="inlineStr">
        <is>
          <t>18. 종업원급여</t>
        </is>
      </c>
      <c r="D28" s="6">
        <f>HYPERLINK("#'18'!A1","바로가기")</f>
        <v/>
      </c>
      <c r="E28" s="7">
        <f>SUMPRODUCT(--ISNUMBER('18'!B9:B9))+SUMPRODUCT(--ISNUMBER('18'!B33:B35))+SUMPRODUCT(--ISNUMBER('18'!B43:B43))+SUMPRODUCT(--ISNUMBER('18'!B85:B85))+SUMPRODUCT(--ISNUMBER('18'!C9:C9))+SUMPRODUCT(--ISNUMBER('18'!C33:C35))+SUMPRODUCT(--ISNUMBER('18'!C43:C43))+SUMPRODUCT(--ISNUMBER('18'!C85:C85))+SUMPRODUCT(--ISNUMBER('18'!D33:D35))+SUMPRODUCT(--ISNUMBER('18'!E33:E35))+SUMPRODUCT(--ISNUMBER('18'!F33:F35))+SUMPRODUCT(--ISNUMBER('18'!G33:G35))</f>
        <v/>
      </c>
      <c r="F28" s="7" t="n">
        <v>0</v>
      </c>
      <c r="G28" s="7" t="n">
        <v>0</v>
      </c>
      <c r="H28" s="7" t="n">
        <v>0</v>
      </c>
      <c r="I28" s="7" t="n">
        <v>0</v>
      </c>
      <c r="J28" s="7" t="n">
        <v>0</v>
      </c>
      <c r="K28" s="7" t="n">
        <v>0</v>
      </c>
    </row>
    <row r="29">
      <c r="B29" s="4" t="inlineStr">
        <is>
          <t>19</t>
        </is>
      </c>
      <c r="C29" s="5" t="inlineStr">
        <is>
          <t>19. 법인세비용</t>
        </is>
      </c>
      <c r="D29" s="6">
        <f>HYPERLINK("#'19'!A1","바로가기")</f>
        <v/>
      </c>
      <c r="E29" s="7">
        <f>SUMPRODUCT(--ISNUMBER('19'!B18:B18))+SUMPRODUCT(--ISNUMBER('19'!B46:B47))+SUMPRODUCT(--ISNUMBER('19'!B74:B75))+SUMPRODUCT(--ISNUMBER('19'!B99:B100))+SUMPRODUCT(--ISNUMBER('19'!C18:C18))+SUMPRODUCT(--ISNUMBER('19'!C46:C47))+SUMPRODUCT(--ISNUMBER('19'!C74:C75))+SUMPRODUCT(--ISNUMBER('19'!C99:C100))+SUMPRODUCT(--ISNUMBER('19'!D18:D18))+SUMPRODUCT(--ISNUMBER('19'!D74:D74))+SUMPRODUCT(--ISNUMBER('19'!D99:D99))+SUMPRODUCT(--ISNUMBER('19'!E18:E18))+SUMPRODUCT(--ISNUMBER('19'!E74:E75))+SUMPRODUCT(--ISNUMBER('19'!E99:E100))+SUMPRODUCT(--ISNUMBER('19'!F18:F18))+SUMPRODUCT(--ISNUMBER('19'!F54:F66))+SUMPRODUCT(--ISNUMBER('19'!F68:F73))+SUMPRODUCT(--ISNUMBER('19'!F81:F91))+SUMPRODUCT(--ISNUMBER('19'!F93:F98))+SUMPRODUCT(--ISNUMBER('19'!G18:G18))</f>
        <v/>
      </c>
      <c r="F29" s="7" t="n">
        <v>0</v>
      </c>
      <c r="G29" s="7">
        <f>SUMPRODUCT(--ISNUMBER('19'!B105:B105))</f>
        <v/>
      </c>
      <c r="H29" s="7" t="n">
        <v>0</v>
      </c>
      <c r="I29" s="7" t="n">
        <v>0</v>
      </c>
      <c r="J29" s="7" t="n">
        <v>0</v>
      </c>
      <c r="K29" s="7" t="n">
        <v>0</v>
      </c>
    </row>
    <row r="30">
      <c r="B30" s="4" t="inlineStr">
        <is>
          <t>20</t>
        </is>
      </c>
      <c r="C30" s="5" t="inlineStr">
        <is>
          <t>20. 자본금</t>
        </is>
      </c>
      <c r="D30" s="6">
        <f>HYPERLINK("#'20'!A1","바로가기")</f>
        <v/>
      </c>
      <c r="E30" s="7" t="n">
        <v>0</v>
      </c>
      <c r="F30" s="7" t="n">
        <v>0</v>
      </c>
      <c r="G30" s="7" t="n">
        <v>0</v>
      </c>
      <c r="H30" s="7" t="n">
        <v>0</v>
      </c>
      <c r="I30" s="7" t="n">
        <v>0</v>
      </c>
      <c r="J30" s="7" t="n">
        <v>0</v>
      </c>
      <c r="K30" s="7" t="n">
        <v>0</v>
      </c>
    </row>
    <row r="31">
      <c r="B31" s="4" t="inlineStr">
        <is>
          <t>21</t>
        </is>
      </c>
      <c r="C31" s="5" t="inlineStr">
        <is>
          <t>21. 자본잉여금</t>
        </is>
      </c>
      <c r="D31" s="6">
        <f>HYPERLINK("#'21'!A1","바로가기")</f>
        <v/>
      </c>
      <c r="E31" s="7">
        <f>SUMPRODUCT(--ISNUMBER('21'!B9:B9))+SUMPRODUCT(--ISNUMBER('21'!C9:C9))</f>
        <v/>
      </c>
      <c r="F31" s="7" t="n">
        <v>0</v>
      </c>
      <c r="G31" s="7">
        <f>SUMPRODUCT(--ISNUMBER('21'!B13:B13))</f>
        <v/>
      </c>
      <c r="H31" s="7" t="n">
        <v>0</v>
      </c>
      <c r="I31" s="7" t="n">
        <v>0</v>
      </c>
      <c r="J31" s="7" t="n">
        <v>0</v>
      </c>
      <c r="K31" s="7" t="n">
        <v>0</v>
      </c>
    </row>
    <row r="32">
      <c r="B32" s="4" t="inlineStr">
        <is>
          <t>22</t>
        </is>
      </c>
      <c r="C32" s="5" t="inlineStr">
        <is>
          <t>22. 주식기준보상</t>
        </is>
      </c>
      <c r="D32" s="6">
        <f>HYPERLINK("#'22'!A1","바로가기")</f>
        <v/>
      </c>
      <c r="E32" s="7" t="n">
        <v>0</v>
      </c>
      <c r="F32" s="7" t="n">
        <v>0</v>
      </c>
      <c r="G32" s="7" t="n">
        <v>0</v>
      </c>
      <c r="H32" s="7" t="n">
        <v>0</v>
      </c>
      <c r="I32" s="7" t="n">
        <v>0</v>
      </c>
      <c r="J32" s="7" t="n">
        <v>0</v>
      </c>
      <c r="K32" s="7" t="n">
        <v>0</v>
      </c>
    </row>
    <row r="33">
      <c r="B33" s="4" t="inlineStr">
        <is>
          <t>23</t>
        </is>
      </c>
      <c r="C33" s="5" t="inlineStr">
        <is>
          <t>23. 기타포괄손익누계액 및 기타자본항목</t>
        </is>
      </c>
      <c r="D33" s="6">
        <f>HYPERLINK("#'23'!A1","바로가기")</f>
        <v/>
      </c>
      <c r="E33" s="7">
        <f>SUMPRODUCT(--ISNUMBER('23'!B15:B15))+SUMPRODUCT(--ISNUMBER('23'!B24:B24))+SUMPRODUCT(--ISNUMBER('23'!C15:C15))+SUMPRODUCT(--ISNUMBER('23'!C24:C24))</f>
        <v/>
      </c>
      <c r="F33" s="7" t="n">
        <v>0</v>
      </c>
      <c r="G33" s="7" t="n">
        <v>0</v>
      </c>
      <c r="H33" s="7" t="n">
        <v>0</v>
      </c>
      <c r="I33" s="7" t="n">
        <v>0</v>
      </c>
      <c r="J33" s="7" t="n">
        <v>0</v>
      </c>
      <c r="K33" s="7" t="n">
        <v>0</v>
      </c>
    </row>
    <row r="34">
      <c r="B34" s="4" t="inlineStr">
        <is>
          <t>24</t>
        </is>
      </c>
      <c r="C34" s="5" t="inlineStr">
        <is>
          <t>24. 이익잉여금</t>
        </is>
      </c>
      <c r="D34" s="6">
        <f>HYPERLINK("#'24'!A1","바로가기")</f>
        <v/>
      </c>
      <c r="E34" s="7">
        <f>SUMPRODUCT(--ISNUMBER('24'!B9:B9))+SUMPRODUCT(--ISNUMBER('24'!C9:C9))</f>
        <v/>
      </c>
      <c r="F34" s="7" t="n">
        <v>0</v>
      </c>
      <c r="G34" s="7">
        <f>SUMPRODUCT(--ISNUMBER('24'!B27:B27))</f>
        <v/>
      </c>
      <c r="H34" s="7" t="n">
        <v>0</v>
      </c>
      <c r="I34" s="7" t="n">
        <v>0</v>
      </c>
      <c r="J34" s="7" t="n">
        <v>0</v>
      </c>
      <c r="K34" s="7" t="n">
        <v>0</v>
      </c>
    </row>
    <row r="35">
      <c r="B35" s="4" t="inlineStr">
        <is>
          <t>25</t>
        </is>
      </c>
      <c r="C35" s="5" t="inlineStr">
        <is>
          <t>25. 고객과의 계약에서 생기는 수익 및 관련 계약자산과 계약부채</t>
        </is>
      </c>
      <c r="D35" s="6">
        <f>HYPERLINK("#'25'!A1","바로가기")</f>
        <v/>
      </c>
      <c r="E35" s="7">
        <f>SUMPRODUCT(--ISNUMBER('25'!B9:B9))+SUMPRODUCT(--ISNUMBER('25'!B24:B26))+SUMPRODUCT(--ISNUMBER('25'!C9:C9))+SUMPRODUCT(--ISNUMBER('25'!C24:C26))</f>
        <v/>
      </c>
      <c r="F35" s="7" t="n">
        <v>0</v>
      </c>
      <c r="G35" s="7">
        <f>SUMPRODUCT(--ISNUMBER('25'!B38:B38))</f>
        <v/>
      </c>
      <c r="H35" s="7" t="n">
        <v>0</v>
      </c>
      <c r="I35" s="7" t="n">
        <v>0</v>
      </c>
      <c r="J35" s="7" t="n">
        <v>0</v>
      </c>
      <c r="K35" s="7" t="n">
        <v>0</v>
      </c>
    </row>
    <row r="36">
      <c r="B36" s="4" t="inlineStr">
        <is>
          <t>26</t>
        </is>
      </c>
      <c r="C36" s="5" t="inlineStr">
        <is>
          <t>26. 매출원가 및 비용의 성격별 분류</t>
        </is>
      </c>
      <c r="D36" s="6">
        <f>HYPERLINK("#'26'!A1","바로가기")</f>
        <v/>
      </c>
      <c r="E36" s="7">
        <f>SUMPRODUCT(--ISNUMBER('26'!B10:B10))+SUMPRODUCT(--ISNUMBER('26'!B23:B23))+SUMPRODUCT(--ISNUMBER('26'!B34:B34))+SUMPRODUCT(--ISNUMBER('26'!C10:C10))+SUMPRODUCT(--ISNUMBER('26'!C23:C23))+SUMPRODUCT(--ISNUMBER('26'!C34:C34))</f>
        <v/>
      </c>
      <c r="F36" s="7" t="n">
        <v>0</v>
      </c>
      <c r="G36" s="7">
        <f>SUMPRODUCT(--ISNUMBER('26'!B38:B38))</f>
        <v/>
      </c>
      <c r="H36" s="7" t="n">
        <v>0</v>
      </c>
      <c r="I36" s="7" t="n">
        <v>0</v>
      </c>
      <c r="J36" s="7" t="n">
        <v>0</v>
      </c>
      <c r="K36" s="7" t="n">
        <v>0</v>
      </c>
    </row>
    <row r="37">
      <c r="B37" s="4" t="inlineStr">
        <is>
          <t>27</t>
        </is>
      </c>
      <c r="C37" s="5" t="inlineStr">
        <is>
          <t>27. 판매비와일반관리비</t>
        </is>
      </c>
      <c r="D37" s="6">
        <f>HYPERLINK("#'27'!A1","바로가기")</f>
        <v/>
      </c>
      <c r="E37" s="7">
        <f>SUMPRODUCT(--ISNUMBER('27'!B18:B18))+SUMPRODUCT(--ISNUMBER('27'!C18:C18))</f>
        <v/>
      </c>
      <c r="F37" s="7" t="n">
        <v>0</v>
      </c>
      <c r="G37" s="7">
        <f>SUMPRODUCT(--ISNUMBER('27'!B22:B22))</f>
        <v/>
      </c>
      <c r="H37" s="7" t="n">
        <v>0</v>
      </c>
      <c r="I37" s="7" t="n">
        <v>0</v>
      </c>
      <c r="J37" s="7" t="n">
        <v>0</v>
      </c>
      <c r="K37" s="7" t="n">
        <v>0</v>
      </c>
    </row>
    <row r="38">
      <c r="B38" s="4" t="inlineStr">
        <is>
          <t>28</t>
        </is>
      </c>
      <c r="C38" s="5" t="inlineStr">
        <is>
          <t>28. 금융수익 및 금융비용</t>
        </is>
      </c>
      <c r="D38" s="6">
        <f>HYPERLINK("#'28'!A1","바로가기")</f>
        <v/>
      </c>
      <c r="E38" s="7">
        <f>SUMPRODUCT(--ISNUMBER('28'!B16:B17))+SUMPRODUCT(--ISNUMBER('28'!C16:C17))</f>
        <v/>
      </c>
      <c r="F38" s="7" t="n">
        <v>0</v>
      </c>
      <c r="G38" s="7">
        <f>SUMPRODUCT(--ISNUMBER('28'!B21:B22))</f>
        <v/>
      </c>
      <c r="H38" s="7" t="n">
        <v>0</v>
      </c>
      <c r="I38" s="7" t="n">
        <v>0</v>
      </c>
      <c r="J38" s="7" t="n">
        <v>0</v>
      </c>
      <c r="K38" s="7" t="n">
        <v>0</v>
      </c>
    </row>
    <row r="39">
      <c r="B39" s="4" t="inlineStr">
        <is>
          <t>29</t>
        </is>
      </c>
      <c r="C39" s="5" t="inlineStr">
        <is>
          <t>29. 기타영업외수익 및 기타영업외비용</t>
        </is>
      </c>
      <c r="D39" s="6">
        <f>HYPERLINK("#'29'!A1","바로가기")</f>
        <v/>
      </c>
      <c r="E39" s="7">
        <f>SUMPRODUCT(--ISNUMBER('29'!B12:B12))+SUMPRODUCT(--ISNUMBER('29'!B21:B21))+SUMPRODUCT(--ISNUMBER('29'!C12:C12))+SUMPRODUCT(--ISNUMBER('29'!C21:C21))</f>
        <v/>
      </c>
      <c r="F39" s="7" t="n">
        <v>0</v>
      </c>
      <c r="G39" s="7">
        <f>SUMPRODUCT(--ISNUMBER('29'!B25:B26))</f>
        <v/>
      </c>
      <c r="H39" s="7" t="n">
        <v>0</v>
      </c>
      <c r="I39" s="7" t="n">
        <v>0</v>
      </c>
      <c r="J39" s="7" t="n">
        <v>0</v>
      </c>
      <c r="K39" s="7" t="n">
        <v>0</v>
      </c>
    </row>
    <row r="40">
      <c r="B40" s="4" t="inlineStr">
        <is>
          <t>30</t>
        </is>
      </c>
      <c r="C40" s="5" t="inlineStr">
        <is>
          <t>30. 주당이익</t>
        </is>
      </c>
      <c r="D40" s="6">
        <f>HYPERLINK("#'30'!A1","바로가기")</f>
        <v/>
      </c>
      <c r="E40" s="7" t="n">
        <v>0</v>
      </c>
      <c r="F40" s="7" t="n">
        <v>0</v>
      </c>
      <c r="G40" s="7">
        <f>SUMPRODUCT(--ISNUMBER('30'!B27:B27))</f>
        <v/>
      </c>
      <c r="H40" s="7" t="n">
        <v>0</v>
      </c>
      <c r="I40" s="7" t="n">
        <v>0</v>
      </c>
      <c r="J40" s="7" t="n">
        <v>0</v>
      </c>
      <c r="K40" s="7" t="n">
        <v>0</v>
      </c>
    </row>
    <row r="41">
      <c r="B41" s="4" t="inlineStr">
        <is>
          <t>31</t>
        </is>
      </c>
      <c r="C41" s="5" t="inlineStr">
        <is>
          <t>31. 배당금</t>
        </is>
      </c>
      <c r="D41" s="6">
        <f>HYPERLINK("#'31'!A1","바로가기")</f>
        <v/>
      </c>
      <c r="E41" s="7" t="n">
        <v>0</v>
      </c>
      <c r="F41" s="7" t="n">
        <v>0</v>
      </c>
      <c r="G41" s="7" t="n">
        <v>0</v>
      </c>
      <c r="H41" s="7" t="n">
        <v>0</v>
      </c>
      <c r="I41" s="7" t="n">
        <v>0</v>
      </c>
      <c r="J41" s="7" t="n">
        <v>0</v>
      </c>
      <c r="K41" s="7" t="n">
        <v>0</v>
      </c>
    </row>
    <row r="42">
      <c r="B42" s="4" t="inlineStr">
        <is>
          <t>32</t>
        </is>
      </c>
      <c r="C42" s="5" t="inlineStr">
        <is>
          <t>32. 현금흐름표</t>
        </is>
      </c>
      <c r="D42" s="6">
        <f>HYPERLINK("#'32'!A1","바로가기")</f>
        <v/>
      </c>
      <c r="E42" s="7">
        <f>SUMPRODUCT(--ISNUMBER('32'!B62:B63))+SUMPRODUCT(--ISNUMBER('32'!C62:C62))+SUMPRODUCT(--ISNUMBER('32'!F62:F63))</f>
        <v/>
      </c>
      <c r="F42" s="7" t="n">
        <v>0</v>
      </c>
      <c r="G42" s="7">
        <f>SUMPRODUCT(--ISNUMBER('32'!B67:B68))</f>
        <v/>
      </c>
      <c r="H42" s="7" t="n">
        <v>0</v>
      </c>
      <c r="I42" s="7" t="n">
        <v>0</v>
      </c>
      <c r="J42" s="7" t="n">
        <v>0</v>
      </c>
      <c r="K42" s="7" t="n">
        <v>0</v>
      </c>
    </row>
    <row r="43">
      <c r="B43" s="4" t="inlineStr">
        <is>
          <t>33</t>
        </is>
      </c>
      <c r="C43" s="5" t="inlineStr">
        <is>
          <t>33. 우발부채와 약정사항</t>
        </is>
      </c>
      <c r="D43" s="6">
        <f>HYPERLINK("#'33'!A1","바로가기")</f>
        <v/>
      </c>
      <c r="E43" s="7">
        <f>SUMPRODUCT(--ISNUMBER('33'!C41:C41))+SUMPRODUCT(--ISNUMBER('33'!C52:C52))+SUMPRODUCT(--ISNUMBER('33'!C63:C63))+SUMPRODUCT(--ISNUMBER('33'!D41:D41))+SUMPRODUCT(--ISNUMBER('33'!D52:D52))+SUMPRODUCT(--ISNUMBER('33'!D63:D63))</f>
        <v/>
      </c>
      <c r="F43" s="7" t="n">
        <v>0</v>
      </c>
      <c r="G43" s="7" t="n">
        <v>0</v>
      </c>
      <c r="H43" s="7" t="n">
        <v>0</v>
      </c>
      <c r="I43" s="7" t="n">
        <v>0</v>
      </c>
      <c r="J43" s="7" t="n">
        <v>0</v>
      </c>
      <c r="K43" s="7" t="n">
        <v>0</v>
      </c>
    </row>
    <row r="44">
      <c r="B44" s="4" t="inlineStr">
        <is>
          <t>34</t>
        </is>
      </c>
      <c r="C44" s="5" t="inlineStr">
        <is>
          <t>34. 특수관계자거래</t>
        </is>
      </c>
      <c r="D44" s="6">
        <f>HYPERLINK("#'34'!A1","바로가기")</f>
        <v/>
      </c>
      <c r="E44" s="7">
        <f>SUMPRODUCT(--ISNUMBER('34'!B81:B81))+SUMPRODUCT(--ISNUMBER('34'!C81:C81))+SUMPRODUCT(--ISNUMBER('34'!D28:D28))+SUMPRODUCT(--ISNUMBER('34'!D40:D40))+SUMPRODUCT(--ISNUMBER('34'!D56:D57))+SUMPRODUCT(--ISNUMBER('34'!E28:E28))+SUMPRODUCT(--ISNUMBER('34'!E40:E40))+SUMPRODUCT(--ISNUMBER('34'!E56:E57))</f>
        <v/>
      </c>
      <c r="F44" s="7" t="n">
        <v>0</v>
      </c>
      <c r="G44" s="7" t="n">
        <v>0</v>
      </c>
      <c r="H44" s="7" t="n">
        <v>0</v>
      </c>
      <c r="I44" s="7" t="n">
        <v>0</v>
      </c>
      <c r="J44" s="7" t="n">
        <v>0</v>
      </c>
      <c r="K44" s="7" t="n">
        <v>0</v>
      </c>
    </row>
    <row r="45">
      <c r="B45" s="4" t="inlineStr">
        <is>
          <t>서술검산</t>
        </is>
      </c>
      <c r="C45" s="5" t="inlineStr">
        <is>
          <t>서술 검산 (본문 수치 재계산)</t>
        </is>
      </c>
      <c r="D45" s="6">
        <f>HYPERLINK("#'서술검산'!A1","바로가기")</f>
        <v/>
      </c>
      <c r="E45" s="7" t="n">
        <v>0</v>
      </c>
      <c r="F45" s="7" t="n">
        <v>0</v>
      </c>
      <c r="G45" s="7">
        <f>SUMPRODUCT(--ISNUMBER('서술검산'!H4:H8))</f>
        <v/>
      </c>
      <c r="H45" s="7" t="n">
        <v>0</v>
      </c>
      <c r="I45" s="7" t="n">
        <v>0</v>
      </c>
      <c r="J45" s="7" t="n">
        <v>0</v>
      </c>
      <c r="K45" s="7" t="n">
        <v>0</v>
      </c>
    </row>
    <row r="46">
      <c r="C46" s="8" t="inlineStr">
        <is>
          <t>합        계</t>
        </is>
      </c>
      <c r="E46" s="9">
        <f>SUM(E7:E45)</f>
        <v/>
      </c>
      <c r="F46" s="9">
        <f>SUM(F7:F45)</f>
        <v/>
      </c>
      <c r="G46" s="9">
        <f>SUM(G7:G45)</f>
        <v/>
      </c>
      <c r="H46" s="9">
        <f>SUM(H7:H45)</f>
        <v/>
      </c>
      <c r="I46" s="9">
        <f>SUM(I7:I45)</f>
        <v/>
      </c>
      <c r="J46" s="9">
        <f>SUM(J7:J45)</f>
        <v/>
      </c>
      <c r="K46" s="9">
        <f>SUM(K7:K45)</f>
        <v/>
      </c>
    </row>
    <row r="48">
      <c r="B48" s="10" t="inlineStr">
        <is>
          <t>지적사항</t>
        </is>
      </c>
    </row>
    <row r="49">
      <c r="B49" s="11" t="inlineStr">
        <is>
          <t>S</t>
        </is>
      </c>
      <c r="C49" s="5" t="inlineStr">
        <is>
          <t>발행 전 필수 수정</t>
        </is>
      </c>
      <c r="D49" s="7" t="n">
        <v>0</v>
      </c>
    </row>
    <row r="50">
      <c r="B50" s="11" t="inlineStr">
        <is>
          <t>A</t>
        </is>
      </c>
      <c r="C50" s="5" t="inlineStr">
        <is>
          <t>내용 보강·확인</t>
        </is>
      </c>
      <c r="D50" s="7" t="n">
        <v>0</v>
      </c>
    </row>
    <row r="51">
      <c r="B51" s="11" t="inlineStr">
        <is>
          <t>B</t>
        </is>
      </c>
      <c r="C51" s="5" t="inlineStr">
        <is>
          <t>표 형식</t>
        </is>
      </c>
      <c r="D51" s="7" t="n">
        <v>0</v>
      </c>
    </row>
    <row r="52">
      <c r="B52" s="11" t="inlineStr">
        <is>
          <t>C</t>
        </is>
      </c>
      <c r="C52" s="5" t="inlineStr">
        <is>
          <t>문구·오타</t>
        </is>
      </c>
      <c r="D52" s="7" t="n">
        <v>7</v>
      </c>
    </row>
    <row r="54">
      <c r="B54" s="10" t="inlineStr">
        <is>
          <t>핵심 결론</t>
        </is>
      </c>
    </row>
    <row r="55" ht="64" customHeight="1">
      <c r="B55" s="12" t="inlineStr">
        <is>
          <t>숫자는 전부 맞는다. 재무제표 4종의 소계·총계와 표준 산식, 현금흐름표·자본변동표와 재무상태표·손익계산서 사이의 연결, 주석 34개의 표 합계, 주석 금액과 본문 금액의 대응, 주당이익·배당성향·부채비율·유효세율 재계산까지 차이가 없다.
남는 것은 문구다. 재무상태표 비유동부채의 '기타장기종업웝급여부채'는 '종업원'의 오타이고, 감사의견 문단의 '종료되는양'은 띄어쓰기가 빠졌다. '공정가치 측정/공정가치측정', '배당금 지급/배당금지급' 같은 띄어쓰기 혼용이 본문·주석에 걸쳐 남아 있다.
이 예시는 조서 없이 공개 원문만으로 돌린 것이라 조서 대사는 없다. 실제 감사 현장에서는 정산표를 조서로 붙여 BS·PL 각 행의 조서 값·차이 열을 채운다.</t>
        </is>
      </c>
    </row>
    <row r="57">
      <c r="B57" s="13" t="inlineStr">
        <is>
          <t>※ 검증셀은 IF(ABS(차이)&lt;허용오차, TRUE, 차이). 숫자가 보이면 오류이며 위 표는 그 개수를 센다.</t>
        </is>
      </c>
    </row>
    <row r="58">
      <c r="B58" s="13" t="inlineStr">
        <is>
          <t>※ 보고서에 적힌 합계는 값으로 그대로 두고, 검증셀이 Σ항목과 비교한다.</t>
        </is>
      </c>
    </row>
    <row r="59">
      <c r="B59" s="13" t="inlineStr">
        <is>
          <t>※ 크로스 참조 중 천원 표 ↔ 원 단위 본문은 단수차이를 고려해 ±5,000원을 기본 허용오차로 둔다.</t>
        </is>
      </c>
    </row>
    <row r="60">
      <c r="B60" s="13" t="inlineStr">
        <is>
          <t>※ '구조 미인식'은 계층·표준 산식으로 검증하지 못한 소계 수다. 04_structure.json 의 rules 로 정의한다.</t>
        </is>
      </c>
    </row>
    <row r="61">
      <c r="B61" s="13" t="inlineStr">
        <is>
          <t>※ '조서 차이'는 04_structure.json 의 wp 매핑이 있을 때만 채워진다.</t>
        </is>
      </c>
    </row>
    <row r="62">
      <c r="B62" s="13" t="inlineStr">
        <is>
          <t>※ 천원 등 반올림 단위 표의 허용오차는 기본 ±1 (tol_rounded=1.5). 원 단위는 ±0 (tol=0.5).</t>
        </is>
      </c>
    </row>
    <row r="63">
      <c r="B63" s="13" t="inlineStr">
        <is>
          <t>※ 주석 표 합계는 Σ행 · 직전소계+Σ행 · Σ소계 · 소계−소계 중 맞아떨어지는 해석을 골라 수식으로 남기고, 어느 해석인지 검증행에 적는다.</t>
        </is>
      </c>
    </row>
    <row r="64">
      <c r="B64" s="13" t="inlineStr">
        <is>
          <t>※ 비율·일수·단가 열은 합산 검증에서 제외한다.</t>
        </is>
      </c>
    </row>
  </sheetData>
  <mergeCells count="1">
    <mergeCell ref="B55:K55"/>
  </mergeCells>
  <conditionalFormatting sqref="E7:I46">
    <cfRule type="expression" priority="1" dxfId="0">
      <formula>E7&gt;0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8" customWidth="1" min="2" max="2"/>
    <col width="18" customWidth="1" min="3" max="3"/>
    <col width="40" customWidth="1" min="5" max="5"/>
  </cols>
  <sheetData>
    <row r="1">
      <c r="A1" s="14" t="inlineStr">
        <is>
          <t>재무상태표</t>
        </is>
      </c>
      <c r="L1" s="15">
        <f>HYPERLINK("#총괄표!A1","◀ 총괄표")</f>
        <v/>
      </c>
    </row>
    <row r="2">
      <c r="A2" s="2" t="inlineStr">
        <is>
          <t>제 24(당) 기 / 제 23(전) 기</t>
        </is>
      </c>
    </row>
    <row r="3">
      <c r="A3" s="2" t="inlineStr">
        <is>
          <t>(단위: 원)</t>
        </is>
      </c>
    </row>
    <row r="5">
      <c r="A5" s="3" t="inlineStr">
        <is>
          <t>과            목</t>
        </is>
      </c>
      <c r="B5" s="3" t="inlineStr">
        <is>
          <t>제 24(당) 기</t>
        </is>
      </c>
      <c r="C5" s="3" t="inlineStr">
        <is>
          <t>제 23(전) 기</t>
        </is>
      </c>
      <c r="E5" s="3" t="inlineStr">
        <is>
          <t>비        고</t>
        </is>
      </c>
    </row>
    <row r="6">
      <c r="A6" s="5" t="inlineStr">
        <is>
          <t>자산</t>
        </is>
      </c>
      <c r="B6" s="7" t="n"/>
      <c r="C6" s="7" t="n"/>
    </row>
    <row r="7">
      <c r="A7" s="16" t="inlineStr">
        <is>
          <t>Ⅰ.유동자산</t>
        </is>
      </c>
      <c r="B7" s="7" t="n">
        <v>15529132600</v>
      </c>
      <c r="C7" s="7" t="n">
        <v>13060257701</v>
      </c>
    </row>
    <row r="8">
      <c r="A8" s="5" t="inlineStr">
        <is>
          <t xml:space="preserve">    현금및현금성자산</t>
        </is>
      </c>
      <c r="B8" s="7" t="n">
        <v>4026179709</v>
      </c>
      <c r="C8" s="7" t="n">
        <v>7065892198</v>
      </c>
    </row>
    <row r="9">
      <c r="A9" s="5" t="inlineStr">
        <is>
          <t xml:space="preserve">    매출채권</t>
        </is>
      </c>
      <c r="B9" s="7" t="n">
        <v>6694059480</v>
      </c>
      <c r="C9" s="7" t="n">
        <v>2770373677</v>
      </c>
    </row>
    <row r="10">
      <c r="A10" s="5" t="inlineStr">
        <is>
          <t xml:space="preserve">    기타채권</t>
        </is>
      </c>
      <c r="B10" s="7" t="n">
        <v>1295982716</v>
      </c>
      <c r="C10" s="7" t="n">
        <v>383573156</v>
      </c>
    </row>
    <row r="11">
      <c r="A11" s="5" t="inlineStr">
        <is>
          <t xml:space="preserve">    기타유동자산</t>
        </is>
      </c>
      <c r="B11" s="7" t="n">
        <v>1860744304</v>
      </c>
      <c r="C11" s="7" t="n">
        <v>1345711030</v>
      </c>
    </row>
    <row r="12">
      <c r="A12" s="5" t="inlineStr">
        <is>
          <t xml:space="preserve">    재고자산</t>
        </is>
      </c>
      <c r="B12" s="7" t="n">
        <v>289048521</v>
      </c>
      <c r="C12" s="7" t="n">
        <v>488767640</v>
      </c>
    </row>
    <row r="13">
      <c r="A13" s="5" t="inlineStr">
        <is>
          <t xml:space="preserve">    당기손익-공정가치 측정 금융자산</t>
        </is>
      </c>
      <c r="B13" s="7" t="n">
        <v>1363117870</v>
      </c>
      <c r="C13" s="7" t="n">
        <v>1005940000</v>
      </c>
    </row>
    <row r="14">
      <c r="A14" s="16" t="inlineStr">
        <is>
          <t>Ⅱ.비유동자산</t>
        </is>
      </c>
      <c r="B14" s="7" t="n">
        <v>12183259767</v>
      </c>
      <c r="C14" s="7" t="n">
        <v>10814852026</v>
      </c>
    </row>
    <row r="15">
      <c r="A15" s="5" t="inlineStr">
        <is>
          <t xml:space="preserve">    순확정급여자산</t>
        </is>
      </c>
      <c r="B15" s="7" t="n">
        <v>142908857</v>
      </c>
      <c r="C15" s="7" t="n">
        <v>149436722</v>
      </c>
    </row>
    <row r="16">
      <c r="A16" s="5" t="inlineStr">
        <is>
          <t xml:space="preserve">    기타포괄손익-공정가치 측정 금융자산</t>
        </is>
      </c>
      <c r="B16" s="7" t="n">
        <v>1863008916</v>
      </c>
      <c r="C16" s="7" t="n">
        <v>1117639800</v>
      </c>
    </row>
    <row r="17">
      <c r="A17" s="5" t="inlineStr">
        <is>
          <t xml:space="preserve">    당기손익-공정가치 측정 금융자산</t>
        </is>
      </c>
      <c r="B17" s="7" t="n">
        <v>799476081</v>
      </c>
      <c r="C17" s="7" t="n">
        <v>297963428</v>
      </c>
    </row>
    <row r="18">
      <c r="A18" s="5" t="inlineStr">
        <is>
          <t xml:space="preserve">    기타비유동채권</t>
        </is>
      </c>
      <c r="B18" s="7" t="n">
        <v>44750000</v>
      </c>
      <c r="C18" s="7" t="n">
        <v>634716290</v>
      </c>
    </row>
    <row r="19">
      <c r="A19" s="5" t="inlineStr">
        <is>
          <t xml:space="preserve">    이연법인세자산</t>
        </is>
      </c>
      <c r="B19" s="7" t="n">
        <v>639617650</v>
      </c>
      <c r="C19" s="7" t="n">
        <v>536689184</v>
      </c>
    </row>
    <row r="20">
      <c r="A20" s="5" t="inlineStr">
        <is>
          <t xml:space="preserve">    유형자산</t>
        </is>
      </c>
      <c r="B20" s="7" t="n">
        <v>6857194323</v>
      </c>
      <c r="C20" s="7" t="n">
        <v>7072292722</v>
      </c>
    </row>
    <row r="21">
      <c r="A21" s="5" t="inlineStr">
        <is>
          <t xml:space="preserve">    무형자산</t>
        </is>
      </c>
      <c r="B21" s="7" t="n">
        <v>396136990</v>
      </c>
      <c r="C21" s="7" t="n">
        <v>396136990</v>
      </c>
    </row>
    <row r="22">
      <c r="A22" s="5" t="inlineStr">
        <is>
          <t xml:space="preserve">    기타비유동자산</t>
        </is>
      </c>
      <c r="B22" s="7" t="n">
        <v>1440166950</v>
      </c>
      <c r="C22" s="7" t="n">
        <v>609976890</v>
      </c>
    </row>
    <row r="23">
      <c r="A23" s="8" t="inlineStr">
        <is>
          <t>자산총계</t>
        </is>
      </c>
      <c r="B23" s="9" t="n">
        <v>27712392367</v>
      </c>
      <c r="C23" s="9" t="n">
        <v>23875109727</v>
      </c>
    </row>
    <row r="24">
      <c r="A24" s="5" t="inlineStr">
        <is>
          <t>부채</t>
        </is>
      </c>
      <c r="B24" s="7" t="n"/>
      <c r="C24" s="7" t="n"/>
    </row>
    <row r="25">
      <c r="A25" s="16" t="inlineStr">
        <is>
          <t>Ⅰ.유동부채</t>
        </is>
      </c>
      <c r="B25" s="7" t="n">
        <v>7864031023</v>
      </c>
      <c r="C25" s="7" t="n">
        <v>4731407030</v>
      </c>
    </row>
    <row r="26">
      <c r="A26" s="5" t="inlineStr">
        <is>
          <t xml:space="preserve">    매입채무</t>
        </is>
      </c>
      <c r="B26" s="7" t="n">
        <v>4092018817</v>
      </c>
      <c r="C26" s="7" t="n">
        <v>1080656572</v>
      </c>
    </row>
    <row r="27">
      <c r="A27" s="5" t="inlineStr">
        <is>
          <t xml:space="preserve">    기타지급채무</t>
        </is>
      </c>
      <c r="B27" s="7" t="n">
        <v>1909750882</v>
      </c>
      <c r="C27" s="7" t="n">
        <v>2655792531</v>
      </c>
    </row>
    <row r="28">
      <c r="A28" s="5" t="inlineStr">
        <is>
          <t xml:space="preserve">    당기법인세부채</t>
        </is>
      </c>
      <c r="B28" s="7" t="n">
        <v>452086500</v>
      </c>
      <c r="C28" s="7" t="n">
        <v>289194234</v>
      </c>
    </row>
    <row r="29">
      <c r="A29" s="5" t="inlineStr">
        <is>
          <t xml:space="preserve">    기타유동부채</t>
        </is>
      </c>
      <c r="B29" s="7" t="n">
        <v>1290888565</v>
      </c>
      <c r="C29" s="7" t="n">
        <v>528762533</v>
      </c>
    </row>
    <row r="30">
      <c r="A30" s="5" t="inlineStr">
        <is>
          <t xml:space="preserve">    리스부채</t>
        </is>
      </c>
      <c r="B30" s="7" t="n">
        <v>119286259</v>
      </c>
      <c r="C30" s="7" t="n">
        <v>177001160</v>
      </c>
    </row>
    <row r="31">
      <c r="A31" s="16" t="inlineStr">
        <is>
          <t>Ⅱ.비유동부채</t>
        </is>
      </c>
      <c r="B31" s="7" t="n">
        <v>167647469</v>
      </c>
      <c r="C31" s="7" t="n">
        <v>265381804</v>
      </c>
    </row>
    <row r="32">
      <c r="A32" s="5" t="inlineStr">
        <is>
          <t xml:space="preserve">    기타장기종업웝급여부채</t>
        </is>
      </c>
      <c r="B32" s="7" t="n">
        <v>167647469</v>
      </c>
      <c r="C32" s="7" t="n">
        <v>126095545</v>
      </c>
    </row>
    <row r="33">
      <c r="A33" s="5" t="inlineStr">
        <is>
          <t xml:space="preserve">    기타비유동부채</t>
        </is>
      </c>
      <c r="B33" s="7" t="n"/>
      <c r="C33" s="7" t="n">
        <v>20000000</v>
      </c>
    </row>
    <row r="34">
      <c r="A34" s="5" t="inlineStr">
        <is>
          <t xml:space="preserve">    장기리스부채</t>
        </is>
      </c>
      <c r="B34" s="7" t="n"/>
      <c r="C34" s="7" t="n">
        <v>119286259</v>
      </c>
    </row>
    <row r="35">
      <c r="A35" s="8" t="inlineStr">
        <is>
          <t>부채총계</t>
        </is>
      </c>
      <c r="B35" s="9" t="n">
        <v>8031678492</v>
      </c>
      <c r="C35" s="9" t="n">
        <v>4996788834</v>
      </c>
    </row>
    <row r="36">
      <c r="A36" s="5" t="inlineStr">
        <is>
          <t>자본</t>
        </is>
      </c>
      <c r="B36" s="7" t="n"/>
      <c r="C36" s="7" t="n"/>
    </row>
    <row r="37">
      <c r="A37" s="16" t="inlineStr">
        <is>
          <t>Ⅰ.자본금</t>
        </is>
      </c>
      <c r="B37" s="7" t="n">
        <v>6000000000</v>
      </c>
      <c r="C37" s="7" t="n">
        <v>6000000000</v>
      </c>
    </row>
    <row r="38">
      <c r="A38" s="16" t="inlineStr">
        <is>
          <t>Ⅱ.자본잉여금</t>
        </is>
      </c>
      <c r="B38" s="7" t="n">
        <v>2412507508</v>
      </c>
      <c r="C38" s="7" t="n">
        <v>2412507508</v>
      </c>
    </row>
    <row r="39">
      <c r="A39" s="16" t="inlineStr">
        <is>
          <t>Ⅲ.기타자본구성요소</t>
        </is>
      </c>
      <c r="B39" s="7" t="n">
        <v>-113906642</v>
      </c>
      <c r="C39" s="7" t="n">
        <v>-146286642</v>
      </c>
    </row>
    <row r="40">
      <c r="A40" s="16" t="inlineStr">
        <is>
          <t>Ⅳ.기타포괄손익누계액</t>
        </is>
      </c>
      <c r="B40" s="7" t="n">
        <v>-796532768</v>
      </c>
      <c r="C40" s="7" t="n">
        <v>-1101842923</v>
      </c>
    </row>
    <row r="41">
      <c r="A41" s="16" t="inlineStr">
        <is>
          <t>Ⅴ.이익잉여금</t>
        </is>
      </c>
      <c r="B41" s="7" t="n">
        <v>12178645777</v>
      </c>
      <c r="C41" s="7" t="n">
        <v>11713942950</v>
      </c>
    </row>
    <row r="42">
      <c r="A42" s="8" t="inlineStr">
        <is>
          <t>자본총계</t>
        </is>
      </c>
      <c r="B42" s="9" t="n">
        <v>19680713875</v>
      </c>
      <c r="C42" s="9" t="n">
        <v>18878320893</v>
      </c>
    </row>
    <row r="43">
      <c r="A43" s="8" t="inlineStr">
        <is>
          <t>부채및자본총계</t>
        </is>
      </c>
      <c r="B43" s="9" t="n">
        <v>27712392367</v>
      </c>
      <c r="C43" s="9" t="n">
        <v>23875109727</v>
      </c>
    </row>
    <row r="45">
      <c r="A45" s="10" t="inlineStr">
        <is>
          <t>■ 푸팅 검증 (소계 − Σ직계 항목)</t>
        </is>
      </c>
    </row>
    <row r="46">
      <c r="A46" s="2" t="inlineStr">
        <is>
          <t>Ⅰ.유동자산  (행 7 = Σ행 8~13)</t>
        </is>
      </c>
      <c r="B46" s="17">
        <f>IF(ABS(B7-((B8+B9+B10+B11+B12+B13)))&lt;0.5,TRUE,B7-((B8+B9+B10+B11+B12+B13)))</f>
        <v/>
      </c>
      <c r="C46" s="17">
        <f>IF(ABS(C7-((C8+C9+C10+C11+C12+C13)))&lt;0.5,TRUE,C7-((C8+C9+C10+C11+C12+C13)))</f>
        <v/>
      </c>
    </row>
    <row r="47">
      <c r="A47" s="2" t="inlineStr">
        <is>
          <t>Ⅱ.비유동자산  (행 14 = Σ행 15~22)</t>
        </is>
      </c>
      <c r="B47" s="17">
        <f>IF(ABS(B14-((B15+B16+B17+B18+B19+B20+B21+B22)))&lt;0.5,TRUE,B14-((B15+B16+B17+B18+B19+B20+B21+B22)))</f>
        <v/>
      </c>
      <c r="C47" s="17">
        <f>IF(ABS(C14-((C15+C16+C17+C18+C19+C20+C21+C22)))&lt;0.5,TRUE,C14-((C15+C16+C17+C18+C19+C20+C21+C22)))</f>
        <v/>
      </c>
    </row>
    <row r="48">
      <c r="A48" s="2" t="inlineStr">
        <is>
          <t>Ⅰ.유동부채  (행 25 = Σ행 26~30)</t>
        </is>
      </c>
      <c r="B48" s="17">
        <f>IF(ABS(B25-((B26+B27+B28+B29+B30)))&lt;0.5,TRUE,B25-((B26+B27+B28+B29+B30)))</f>
        <v/>
      </c>
      <c r="C48" s="17">
        <f>IF(ABS(C25-((C26+C27+C28+C29+C30)))&lt;0.5,TRUE,C25-((C26+C27+C28+C29+C30)))</f>
        <v/>
      </c>
    </row>
    <row r="49">
      <c r="A49" s="2" t="inlineStr">
        <is>
          <t>Ⅱ.비유동부채  (행 31 = Σ행 32~34)</t>
        </is>
      </c>
      <c r="B49" s="17">
        <f>IF(ABS(B31-((B32+B33+B34)))&lt;0.5,TRUE,B31-((B32+B33+B34)))</f>
        <v/>
      </c>
      <c r="C49" s="17">
        <f>IF(ABS(C31-((C32+C33+C34)))&lt;0.5,TRUE,C31-((C32+C33+C34)))</f>
        <v/>
      </c>
    </row>
    <row r="51">
      <c r="A51" s="10" t="inlineStr">
        <is>
          <t>■ 산식 검증 (비단순합)</t>
        </is>
      </c>
    </row>
    <row r="52">
      <c r="A52" s="2" t="inlineStr">
        <is>
          <t>자산총계 = Σ자산 대분류  (행 23)</t>
        </is>
      </c>
      <c r="B52" s="17">
        <f>IF(ABS(B23-(+B7+B14))&lt;0.5,TRUE,B23-(+B7+B14))</f>
        <v/>
      </c>
      <c r="C52" s="17">
        <f>IF(ABS(C23-(+C7+C14))&lt;0.5,TRUE,C23-(+C7+C14))</f>
        <v/>
      </c>
    </row>
    <row r="53">
      <c r="A53" s="2" t="inlineStr">
        <is>
          <t>부채총계 = Σ부채 대분류  (행 35)</t>
        </is>
      </c>
      <c r="B53" s="17">
        <f>IF(ABS(B35-(+B25+B31))&lt;0.5,TRUE,B35-(+B25+B31))</f>
        <v/>
      </c>
      <c r="C53" s="17">
        <f>IF(ABS(C35-(+C25+C31))&lt;0.5,TRUE,C35-(+C25+C31))</f>
        <v/>
      </c>
    </row>
    <row r="54">
      <c r="A54" s="2" t="inlineStr">
        <is>
          <t>자본총계 = Σ자본 대분류  (행 42)</t>
        </is>
      </c>
      <c r="B54" s="17">
        <f>IF(ABS(B42-(+B37+B38+B39+B40+B41))&lt;0.5,TRUE,B42-(+B37+B38+B39+B40+B41))</f>
        <v/>
      </c>
      <c r="C54" s="17">
        <f>IF(ABS(C42-(+C37+C38+C39+C40+C41))&lt;0.5,TRUE,C42-(+C37+C38+C39+C40+C41))</f>
        <v/>
      </c>
    </row>
    <row r="55">
      <c r="A55" s="2" t="inlineStr">
        <is>
          <t>부채와자본총계 = 부채총계 + 자본총계  (행 43)</t>
        </is>
      </c>
      <c r="B55" s="17">
        <f>IF(ABS(B43-(+B35+B42))&lt;0.5,TRUE,B43-(+B35+B42))</f>
        <v/>
      </c>
      <c r="C55" s="17">
        <f>IF(ABS(C43-(+C35+C42))&lt;0.5,TRUE,C43-(+C35+C42))</f>
        <v/>
      </c>
    </row>
  </sheetData>
  <conditionalFormatting sqref="B46:B49">
    <cfRule type="expression" priority="1" dxfId="0">
      <formula>ISNUMBER(B46)</formula>
    </cfRule>
  </conditionalFormatting>
  <conditionalFormatting sqref="C46:C49">
    <cfRule type="expression" priority="2" dxfId="0">
      <formula>ISNUMBER(C46)</formula>
    </cfRule>
  </conditionalFormatting>
  <conditionalFormatting sqref="B52:B55">
    <cfRule type="expression" priority="3" dxfId="0">
      <formula>ISNUMBER(B52)</formula>
    </cfRule>
  </conditionalFormatting>
  <conditionalFormatting sqref="C52:C55">
    <cfRule type="expression" priority="4" dxfId="0">
      <formula>ISNUMBER(C52)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8" customWidth="1" min="2" max="2"/>
    <col width="18" customWidth="1" min="3" max="3"/>
    <col width="40" customWidth="1" min="5" max="5"/>
  </cols>
  <sheetData>
    <row r="1">
      <c r="A1" s="14" t="inlineStr">
        <is>
          <t>포괄손익계산서</t>
        </is>
      </c>
      <c r="L1" s="15">
        <f>HYPERLINK("#총괄표!A1","◀ 총괄표")</f>
        <v/>
      </c>
    </row>
    <row r="2">
      <c r="A2" s="2" t="inlineStr">
        <is>
          <t>제 24(당) 기 / 제 23(전) 기</t>
        </is>
      </c>
    </row>
    <row r="3">
      <c r="A3" s="2" t="inlineStr">
        <is>
          <t>(단위: 원)</t>
        </is>
      </c>
    </row>
    <row r="5">
      <c r="A5" s="3" t="inlineStr">
        <is>
          <t>과            목</t>
        </is>
      </c>
      <c r="B5" s="3" t="inlineStr">
        <is>
          <t>제 24(당) 기</t>
        </is>
      </c>
      <c r="C5" s="3" t="inlineStr">
        <is>
          <t>제 23(전) 기</t>
        </is>
      </c>
      <c r="E5" s="3" t="inlineStr">
        <is>
          <t>비        고</t>
        </is>
      </c>
    </row>
    <row r="6">
      <c r="A6" s="16" t="inlineStr">
        <is>
          <t>Ⅰ.매출</t>
        </is>
      </c>
      <c r="B6" s="7" t="n">
        <v>24863482484</v>
      </c>
      <c r="C6" s="7" t="n">
        <v>29539354935</v>
      </c>
    </row>
    <row r="7">
      <c r="A7" s="16" t="inlineStr">
        <is>
          <t>Ⅱ.매출원가</t>
        </is>
      </c>
      <c r="B7" s="7" t="n">
        <v>19674721789</v>
      </c>
      <c r="C7" s="7" t="n">
        <v>24560558905</v>
      </c>
    </row>
    <row r="8">
      <c r="A8" s="16" t="inlineStr">
        <is>
          <t>Ⅲ.매출총이익</t>
        </is>
      </c>
      <c r="B8" s="7" t="n">
        <v>5188760695</v>
      </c>
      <c r="C8" s="7" t="n">
        <v>4978796030</v>
      </c>
    </row>
    <row r="9">
      <c r="A9" s="16" t="inlineStr">
        <is>
          <t>판매비와관리비</t>
        </is>
      </c>
      <c r="B9" s="7" t="n">
        <v>3125550277</v>
      </c>
      <c r="C9" s="7" t="n">
        <v>2995652407</v>
      </c>
    </row>
    <row r="10">
      <c r="A10" s="16" t="inlineStr">
        <is>
          <t>Ⅳ.영업이익</t>
        </is>
      </c>
      <c r="B10" s="7" t="n">
        <v>2063210418</v>
      </c>
      <c r="C10" s="7" t="n">
        <v>1983143623</v>
      </c>
    </row>
    <row r="11">
      <c r="A11" s="16" t="inlineStr">
        <is>
          <t>금융수익</t>
        </is>
      </c>
      <c r="B11" s="7" t="n">
        <v>781875870</v>
      </c>
      <c r="C11" s="7" t="n">
        <v>273577008</v>
      </c>
    </row>
    <row r="12">
      <c r="A12" s="16" t="inlineStr">
        <is>
          <t>금융비용</t>
        </is>
      </c>
      <c r="B12" s="7" t="n">
        <v>105257667</v>
      </c>
      <c r="C12" s="7" t="n">
        <v>57186407</v>
      </c>
    </row>
    <row r="13">
      <c r="A13" s="16" t="inlineStr">
        <is>
          <t>기타영업외수익</t>
        </is>
      </c>
      <c r="B13" s="7" t="n">
        <v>116473039</v>
      </c>
      <c r="C13" s="7" t="n">
        <v>269895554</v>
      </c>
    </row>
    <row r="14">
      <c r="A14" s="16" t="inlineStr">
        <is>
          <t>기타영업외비용</t>
        </is>
      </c>
      <c r="B14" s="7" t="n">
        <v>93737180</v>
      </c>
      <c r="C14" s="7" t="n">
        <v>46949376</v>
      </c>
    </row>
    <row r="15">
      <c r="A15" s="16" t="inlineStr">
        <is>
          <t>Ⅴ.법인세비용차감전순이익</t>
        </is>
      </c>
      <c r="B15" s="7" t="n">
        <v>2762564480</v>
      </c>
      <c r="C15" s="7" t="n">
        <v>2422480402</v>
      </c>
    </row>
    <row r="16">
      <c r="A16" s="16" t="inlineStr">
        <is>
          <t>법인세비용</t>
        </is>
      </c>
      <c r="B16" s="7" t="n">
        <v>235114420</v>
      </c>
      <c r="C16" s="7" t="n">
        <v>423305542</v>
      </c>
    </row>
    <row r="17">
      <c r="A17" s="16" t="inlineStr">
        <is>
          <t>Ⅵ.당기순이익</t>
        </is>
      </c>
      <c r="B17" s="7" t="n">
        <v>2527450060</v>
      </c>
      <c r="C17" s="7" t="n">
        <v>1999174860</v>
      </c>
    </row>
    <row r="18">
      <c r="A18" s="16" t="inlineStr">
        <is>
          <t>Ⅶ.기타포괄손익:</t>
        </is>
      </c>
      <c r="B18" s="7" t="n">
        <v>402562922</v>
      </c>
      <c r="C18" s="7" t="n">
        <v>-413147701</v>
      </c>
    </row>
    <row r="19">
      <c r="A19" s="16" t="inlineStr">
        <is>
          <t>당기손익으로 재분류되지 않는 항목</t>
        </is>
      </c>
      <c r="B19" s="7" t="n">
        <v>402562922</v>
      </c>
      <c r="C19" s="7" t="n">
        <v>-413147701</v>
      </c>
    </row>
    <row r="20">
      <c r="A20" s="5" t="inlineStr">
        <is>
          <t xml:space="preserve">    순확정급여제도의 재측정요소</t>
        </is>
      </c>
      <c r="B20" s="7" t="n">
        <v>76216951</v>
      </c>
      <c r="C20" s="7" t="n">
        <v>-125250710</v>
      </c>
    </row>
    <row r="21">
      <c r="A21" s="5" t="inlineStr">
        <is>
          <t xml:space="preserve">    기타포괄손익-공정가치 측정 지분상품 평가손익</t>
        </is>
      </c>
      <c r="B21" s="7" t="n">
        <v>419570854</v>
      </c>
      <c r="C21" s="7" t="n">
        <v>-397059910</v>
      </c>
    </row>
    <row r="22">
      <c r="A22" s="5" t="inlineStr">
        <is>
          <t xml:space="preserve">    법인세효과</t>
        </is>
      </c>
      <c r="B22" s="7" t="n">
        <v>-93224883</v>
      </c>
      <c r="C22" s="7" t="n">
        <v>109162919</v>
      </c>
    </row>
    <row r="23">
      <c r="A23" s="16" t="inlineStr">
        <is>
          <t>Ⅷ.총포괄손익</t>
        </is>
      </c>
      <c r="B23" s="7" t="n">
        <v>2930012982</v>
      </c>
      <c r="C23" s="7" t="n">
        <v>1586027159</v>
      </c>
    </row>
    <row r="24">
      <c r="A24" s="5" t="inlineStr">
        <is>
          <t>Ⅸ.주당이익</t>
        </is>
      </c>
      <c r="B24" s="7" t="n"/>
      <c r="C24" s="7" t="n"/>
    </row>
    <row r="25">
      <c r="A25" s="16" t="inlineStr">
        <is>
          <t>기본주당이익</t>
        </is>
      </c>
      <c r="B25" s="7" t="n">
        <v>211</v>
      </c>
      <c r="C25" s="7" t="n">
        <v>167</v>
      </c>
    </row>
    <row r="26">
      <c r="A26" s="16" t="inlineStr">
        <is>
          <t>희석주당이익</t>
        </is>
      </c>
      <c r="B26" s="7" t="n">
        <v>210</v>
      </c>
      <c r="C26" s="7" t="n">
        <v>167</v>
      </c>
    </row>
    <row r="28">
      <c r="A28" s="10" t="inlineStr">
        <is>
          <t>■ 푸팅 검증 (소계 − Σ직계 항목)</t>
        </is>
      </c>
    </row>
    <row r="29">
      <c r="A29" s="2" t="inlineStr">
        <is>
          <t>당기손익으로 재분류되지 않는 항목  (행 19 = Σ행 20~22)</t>
        </is>
      </c>
      <c r="B29" s="17">
        <f>IF(ABS(B19-((B20+B21+B22)))&lt;0.5,TRUE,B19-((B20+B21+B22)))</f>
        <v/>
      </c>
      <c r="C29" s="17">
        <f>IF(ABS(C19-((C20+C21+C22)))&lt;0.5,TRUE,C19-((C20+C21+C22)))</f>
        <v/>
      </c>
    </row>
    <row r="31">
      <c r="A31" s="10" t="inlineStr">
        <is>
          <t>■ 산식 검증 (비단순합)</t>
        </is>
      </c>
    </row>
    <row r="32">
      <c r="A32" s="2" t="inlineStr">
        <is>
          <t>매출총이익 = 매출액 − 매출원가  (행 8)</t>
        </is>
      </c>
      <c r="B32" s="17">
        <f>IF(ABS(B8-(+B6-B7))&lt;0.5,TRUE,B8-(+B6-B7))</f>
        <v/>
      </c>
      <c r="C32" s="17">
        <f>IF(ABS(C8-(+C6-C7))&lt;0.5,TRUE,C8-(+C6-C7))</f>
        <v/>
      </c>
    </row>
    <row r="33">
      <c r="A33" s="2" t="inlineStr">
        <is>
          <t>영업이익 = 매출총이익 − 판매비와관리비  (행 10)</t>
        </is>
      </c>
      <c r="B33" s="17">
        <f>IF(ABS(B10-(+B8-B9))&lt;0.5,TRUE,B10-(+B8-B9))</f>
        <v/>
      </c>
      <c r="C33" s="17">
        <f>IF(ABS(C10-(+C8-C9))&lt;0.5,TRUE,C10-(+C8-C9))</f>
        <v/>
      </c>
    </row>
    <row r="34">
      <c r="A34" s="2" t="inlineStr">
        <is>
          <t>법인세비용차감전순이익 = 영업이익 + 사이 수익 항목 − 사이 비용 항목  (행 15)</t>
        </is>
      </c>
      <c r="B34" s="17">
        <f>IF(ABS(B15-(+B10+B11-B12+B13-B14))&lt;0.5,TRUE,B15-(+B10+B11-B12+B13-B14))</f>
        <v/>
      </c>
      <c r="C34" s="17">
        <f>IF(ABS(C15-(+C10+C11-C12+C13-C14))&lt;0.5,TRUE,C15-(+C10+C11-C12+C13-C14))</f>
        <v/>
      </c>
    </row>
    <row r="35">
      <c r="A35" s="2" t="inlineStr">
        <is>
          <t>당기순이익 = 법인세비용차감전순이익 − 법인세비용  (행 17)</t>
        </is>
      </c>
      <c r="B35" s="17">
        <f>IF(ABS(B17-(+B15-B16))&lt;0.5,TRUE,B17-(+B15-B16))</f>
        <v/>
      </c>
      <c r="C35" s="17">
        <f>IF(ABS(C17-(+C15-C16))&lt;0.5,TRUE,C17-(+C15-C16))</f>
        <v/>
      </c>
    </row>
    <row r="36">
      <c r="A36" s="2" t="inlineStr">
        <is>
          <t>총포괄손익 = 당기순이익 + 기타포괄손익  (행 23)</t>
        </is>
      </c>
      <c r="B36" s="17">
        <f>IF(ABS(B23-(+B17+B18))&lt;0.5,TRUE,B23-(+B17+B18))</f>
        <v/>
      </c>
      <c r="C36" s="17">
        <f>IF(ABS(C23-(+C17+C18))&lt;0.5,TRUE,C23-(+C17+C18))</f>
        <v/>
      </c>
    </row>
    <row r="37">
      <c r="A37" s="2" t="inlineStr">
        <is>
          <t>기타포괄손익 = 당기손익으로 재분류되지 않는 항목  (행 18)</t>
        </is>
      </c>
      <c r="B37" s="17">
        <f>IF(ABS(B18-(+B19))&lt;0.5,TRUE,B18-(+B19))</f>
        <v/>
      </c>
      <c r="C37" s="17">
        <f>IF(ABS(C18-(+C19))&lt;0.5,TRUE,C18-(+C19))</f>
        <v/>
      </c>
    </row>
  </sheetData>
  <conditionalFormatting sqref="B29">
    <cfRule type="expression" priority="1" dxfId="0">
      <formula>ISNUMBER(B29)</formula>
    </cfRule>
  </conditionalFormatting>
  <conditionalFormatting sqref="C29">
    <cfRule type="expression" priority="2" dxfId="0">
      <formula>ISNUMBER(C29)</formula>
    </cfRule>
  </conditionalFormatting>
  <conditionalFormatting sqref="B32:B37">
    <cfRule type="expression" priority="3" dxfId="0">
      <formula>ISNUMBER(B32)</formula>
    </cfRule>
  </conditionalFormatting>
  <conditionalFormatting sqref="C32:C37">
    <cfRule type="expression" priority="4" dxfId="0">
      <formula>ISNUMBER(C32)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4" customWidth="1" min="8" max="8"/>
    <col width="40" customWidth="1" min="10" max="10"/>
  </cols>
  <sheetData>
    <row r="1">
      <c r="A1" s="14" t="inlineStr">
        <is>
          <t>자본변동표</t>
        </is>
      </c>
      <c r="P1" s="15">
        <f>HYPERLINK("#총괄표!A1","◀ 총괄표")</f>
        <v/>
      </c>
    </row>
    <row r="2">
      <c r="A2" s="2" t="inlineStr"/>
    </row>
    <row r="3">
      <c r="A3" s="2" t="inlineStr">
        <is>
          <t>(단위: 원)</t>
        </is>
      </c>
    </row>
    <row r="5">
      <c r="A5" s="3" t="inlineStr">
        <is>
          <t>과            목</t>
        </is>
      </c>
      <c r="B5" s="3" t="inlineStr">
        <is>
          <t>자본금</t>
        </is>
      </c>
      <c r="C5" s="3" t="inlineStr">
        <is>
          <t>자본잉여금</t>
        </is>
      </c>
      <c r="D5" s="3" t="inlineStr">
        <is>
          <t>기타자본구성요소</t>
        </is>
      </c>
      <c r="E5" s="3" t="inlineStr">
        <is>
          <t>기타포괄손익누계액</t>
        </is>
      </c>
      <c r="F5" s="3" t="inlineStr">
        <is>
          <t>이익잉여금</t>
        </is>
      </c>
      <c r="G5" s="3" t="inlineStr">
        <is>
          <t>총 계</t>
        </is>
      </c>
      <c r="H5" s="3" t="inlineStr">
        <is>
          <t>행합검증
(총계−Σ)</t>
        </is>
      </c>
      <c r="J5" s="3" t="inlineStr">
        <is>
          <t>비        고</t>
        </is>
      </c>
    </row>
    <row r="6">
      <c r="A6" s="8" t="inlineStr">
        <is>
          <t>2024년 1월 1일(전기초)</t>
        </is>
      </c>
      <c r="B6" s="9" t="n">
        <v>6000000000</v>
      </c>
      <c r="C6" s="9" t="n">
        <v>2412507508</v>
      </c>
      <c r="D6" s="9" t="n">
        <v>-171214805</v>
      </c>
      <c r="E6" s="9" t="n">
        <v>-763802763</v>
      </c>
      <c r="F6" s="9" t="n">
        <v>11949875631</v>
      </c>
      <c r="G6" s="9" t="n">
        <v>19427365571</v>
      </c>
      <c r="H6" s="17">
        <f>IF(ABS(G6-(B6+C6+D6+E6+F6))&lt;0.5,TRUE,G6-(B6+C6+D6+E6+F6))</f>
        <v/>
      </c>
    </row>
    <row r="7">
      <c r="A7" s="5" t="inlineStr">
        <is>
          <t xml:space="preserve">    총포괄손익</t>
        </is>
      </c>
      <c r="B7" s="7" t="n"/>
      <c r="C7" s="7" t="n"/>
      <c r="D7" s="7" t="n"/>
      <c r="E7" s="7" t="n"/>
      <c r="F7" s="7" t="n"/>
      <c r="G7" s="7" t="n"/>
    </row>
    <row r="8">
      <c r="A8" s="5" t="inlineStr">
        <is>
          <t xml:space="preserve">    당기순이익</t>
        </is>
      </c>
      <c r="B8" s="7" t="n"/>
      <c r="C8" s="7" t="n"/>
      <c r="D8" s="7" t="n"/>
      <c r="E8" s="7" t="n"/>
      <c r="F8" s="7" t="n">
        <v>1999174860</v>
      </c>
      <c r="G8" s="7" t="n">
        <v>1999174860</v>
      </c>
      <c r="H8" s="17">
        <f>IF(ABS(G8-(B8+C8+D8+E8+F8))&lt;0.5,TRUE,G8-(B8+C8+D8+E8+F8))</f>
        <v/>
      </c>
    </row>
    <row r="9">
      <c r="A9" s="5" t="inlineStr">
        <is>
          <t xml:space="preserve">    기타포괄손익</t>
        </is>
      </c>
      <c r="B9" s="7" t="n"/>
      <c r="C9" s="7" t="n"/>
      <c r="D9" s="7" t="n"/>
      <c r="E9" s="7" t="n"/>
      <c r="F9" s="7" t="n"/>
      <c r="G9" s="7" t="n"/>
    </row>
    <row r="10">
      <c r="A10" s="5" t="inlineStr">
        <is>
          <t xml:space="preserve">    순확정급여자산의 재측정요소</t>
        </is>
      </c>
      <c r="B10" s="7" t="n"/>
      <c r="C10" s="7" t="n"/>
      <c r="D10" s="7" t="n"/>
      <c r="E10" s="7" t="n"/>
      <c r="F10" s="7" t="n">
        <v>-99073312</v>
      </c>
      <c r="G10" s="7" t="n">
        <v>-99073312</v>
      </c>
      <c r="H10" s="17">
        <f>IF(ABS(G10-(B10+C10+D10+E10+F10))&lt;0.5,TRUE,G10-(B10+C10+D10+E10+F10))</f>
        <v/>
      </c>
    </row>
    <row r="11">
      <c r="A11" s="5" t="inlineStr">
        <is>
          <t xml:space="preserve">    기타포괄손익-공정가치 측정지분상품 평가손익</t>
        </is>
      </c>
      <c r="B11" s="7" t="n"/>
      <c r="C11" s="7" t="n"/>
      <c r="D11" s="7" t="n"/>
      <c r="E11" s="7" t="n">
        <v>-314074389</v>
      </c>
      <c r="F11" s="7" t="n"/>
      <c r="G11" s="7" t="n">
        <v>-314074389</v>
      </c>
      <c r="H11" s="17">
        <f>IF(ABS(G11-(B11+C11+D11+E11+F11))&lt;0.5,TRUE,G11-(B11+C11+D11+E11+F11))</f>
        <v/>
      </c>
    </row>
    <row r="12">
      <c r="A12" s="5" t="inlineStr">
        <is>
          <t xml:space="preserve">    총포괄손익 합계</t>
        </is>
      </c>
      <c r="B12" s="7" t="n"/>
      <c r="C12" s="7" t="n"/>
      <c r="D12" s="7" t="n"/>
      <c r="E12" s="7" t="n">
        <v>-314074389</v>
      </c>
      <c r="F12" s="7" t="n">
        <v>1900101548</v>
      </c>
      <c r="G12" s="7" t="n">
        <v>1586027159</v>
      </c>
      <c r="H12" s="17">
        <f>IF(ABS(G12-(B12+C12+D12+E12+F12))&lt;0.5,TRUE,G12-(B12+C12+D12+E12+F12))</f>
        <v/>
      </c>
    </row>
    <row r="13">
      <c r="A13" s="5" t="inlineStr">
        <is>
          <t xml:space="preserve">    기타포괄손익-공정가치 측정 지분상품 처분에 따른 대체</t>
        </is>
      </c>
      <c r="B13" s="7" t="n"/>
      <c r="C13" s="7" t="n"/>
      <c r="D13" s="7" t="n"/>
      <c r="E13" s="7" t="n">
        <v>-23965771</v>
      </c>
      <c r="F13" s="7" t="n">
        <v>23965771</v>
      </c>
      <c r="G13" s="7" t="n"/>
    </row>
    <row r="14">
      <c r="A14" s="5" t="inlineStr">
        <is>
          <t xml:space="preserve">    소유주와의 거래</t>
        </is>
      </c>
      <c r="B14" s="7" t="n"/>
      <c r="C14" s="7" t="n"/>
      <c r="D14" s="7" t="n"/>
      <c r="E14" s="7" t="n"/>
      <c r="F14" s="7" t="n"/>
      <c r="G14" s="7" t="n"/>
    </row>
    <row r="15">
      <c r="A15" s="5" t="inlineStr">
        <is>
          <t xml:space="preserve">    배당금 지급</t>
        </is>
      </c>
      <c r="B15" s="7" t="n"/>
      <c r="C15" s="7" t="n"/>
      <c r="D15" s="7" t="n"/>
      <c r="E15" s="7" t="n"/>
      <c r="F15" s="7" t="n">
        <v>-2160000000</v>
      </c>
      <c r="G15" s="7" t="n">
        <v>-2160000000</v>
      </c>
      <c r="H15" s="17">
        <f>IF(ABS(G15-(B15+C15+D15+E15+F15))&lt;0.5,TRUE,G15-(B15+C15+D15+E15+F15))</f>
        <v/>
      </c>
    </row>
    <row r="16">
      <c r="A16" s="5" t="inlineStr">
        <is>
          <t xml:space="preserve">    주식보상비용</t>
        </is>
      </c>
      <c r="B16" s="7" t="n"/>
      <c r="C16" s="7" t="n"/>
      <c r="D16" s="7" t="n">
        <v>24928163</v>
      </c>
      <c r="E16" s="7" t="n"/>
      <c r="F16" s="7" t="n"/>
      <c r="G16" s="7" t="n">
        <v>24928163</v>
      </c>
      <c r="H16" s="17">
        <f>IF(ABS(G16-(B16+C16+D16+E16+F16))&lt;0.5,TRUE,G16-(B16+C16+D16+E16+F16))</f>
        <v/>
      </c>
    </row>
    <row r="17">
      <c r="A17" s="8" t="inlineStr">
        <is>
          <t>2024년 12월 31일(전기말)</t>
        </is>
      </c>
      <c r="B17" s="9" t="n">
        <v>6000000000</v>
      </c>
      <c r="C17" s="9" t="n">
        <v>2412507508</v>
      </c>
      <c r="D17" s="9" t="n">
        <v>-146286642</v>
      </c>
      <c r="E17" s="9" t="n">
        <v>-1101842923</v>
      </c>
      <c r="F17" s="9" t="n">
        <v>11713942950</v>
      </c>
      <c r="G17" s="9" t="n">
        <v>18878320893</v>
      </c>
      <c r="H17" s="17">
        <f>IF(ABS(G17-(B17+C17+D17+E17+F17))&lt;0.5,TRUE,G17-(B17+C17+D17+E17+F17))</f>
        <v/>
      </c>
    </row>
    <row r="18">
      <c r="A18" s="8" t="inlineStr">
        <is>
          <t>2025년 1월 1일(당기초)</t>
        </is>
      </c>
      <c r="B18" s="9" t="n">
        <v>6000000000</v>
      </c>
      <c r="C18" s="9" t="n">
        <v>2412507508</v>
      </c>
      <c r="D18" s="9" t="n">
        <v>-146286642</v>
      </c>
      <c r="E18" s="9" t="n">
        <v>-1101842923</v>
      </c>
      <c r="F18" s="9" t="n">
        <v>11713942950</v>
      </c>
      <c r="G18" s="9" t="n">
        <v>18878320893</v>
      </c>
      <c r="H18" s="17">
        <f>IF(ABS(G18-(B18+C18+D18+E18+F18))&lt;0.5,TRUE,G18-(B18+C18+D18+E18+F18))</f>
        <v/>
      </c>
    </row>
    <row r="19">
      <c r="A19" s="5" t="inlineStr">
        <is>
          <t xml:space="preserve">    총포괄손익</t>
        </is>
      </c>
      <c r="B19" s="7" t="n"/>
      <c r="C19" s="7" t="n"/>
      <c r="D19" s="7" t="n"/>
      <c r="E19" s="7" t="n"/>
      <c r="F19" s="7" t="n"/>
      <c r="G19" s="7" t="n"/>
    </row>
    <row r="20">
      <c r="A20" s="5" t="inlineStr">
        <is>
          <t xml:space="preserve">    당기순이익</t>
        </is>
      </c>
      <c r="B20" s="7" t="n"/>
      <c r="C20" s="7" t="n"/>
      <c r="D20" s="7" t="n"/>
      <c r="E20" s="7" t="n"/>
      <c r="F20" s="7" t="n">
        <v>2527450060</v>
      </c>
      <c r="G20" s="7" t="n">
        <v>2527450060</v>
      </c>
      <c r="H20" s="17">
        <f>IF(ABS(G20-(B20+C20+D20+E20+F20))&lt;0.5,TRUE,G20-(B20+C20+D20+E20+F20))</f>
        <v/>
      </c>
    </row>
    <row r="21">
      <c r="A21" s="5" t="inlineStr">
        <is>
          <t xml:space="preserve">    기타포괄손익</t>
        </is>
      </c>
      <c r="B21" s="7" t="n"/>
      <c r="C21" s="7" t="n"/>
      <c r="D21" s="7" t="n"/>
      <c r="E21" s="7" t="n"/>
      <c r="F21" s="7" t="n"/>
      <c r="G21" s="7" t="n"/>
    </row>
    <row r="22">
      <c r="A22" s="5" t="inlineStr">
        <is>
          <t xml:space="preserve">    순확정급여자산의 재측정요소</t>
        </is>
      </c>
      <c r="B22" s="7" t="n"/>
      <c r="C22" s="7" t="n"/>
      <c r="D22" s="7" t="n"/>
      <c r="E22" s="7" t="n"/>
      <c r="F22" s="7" t="n">
        <v>59449222</v>
      </c>
      <c r="G22" s="7" t="n">
        <v>59449222</v>
      </c>
      <c r="H22" s="17">
        <f>IF(ABS(G22-(B22+C22+D22+E22+F22))&lt;0.5,TRUE,G22-(B22+C22+D22+E22+F22))</f>
        <v/>
      </c>
    </row>
    <row r="23">
      <c r="A23" s="5" t="inlineStr">
        <is>
          <t xml:space="preserve">    기타포괄손익-공정가치 측정지분상품 평가손익</t>
        </is>
      </c>
      <c r="B23" s="7" t="n"/>
      <c r="C23" s="7" t="n"/>
      <c r="D23" s="7" t="n"/>
      <c r="E23" s="7" t="n">
        <v>343113700</v>
      </c>
      <c r="F23" s="7" t="n"/>
      <c r="G23" s="7" t="n">
        <v>343113700</v>
      </c>
      <c r="H23" s="17">
        <f>IF(ABS(G23-(B23+C23+D23+E23+F23))&lt;0.5,TRUE,G23-(B23+C23+D23+E23+F23))</f>
        <v/>
      </c>
    </row>
    <row r="24">
      <c r="A24" s="5" t="inlineStr">
        <is>
          <t xml:space="preserve">    총포괄손익 합계</t>
        </is>
      </c>
      <c r="B24" s="7" t="n"/>
      <c r="C24" s="7" t="n"/>
      <c r="D24" s="7" t="n"/>
      <c r="E24" s="7" t="n">
        <v>343113700</v>
      </c>
      <c r="F24" s="7" t="n">
        <v>2586899282</v>
      </c>
      <c r="G24" s="7" t="n">
        <v>2930012982</v>
      </c>
      <c r="H24" s="17">
        <f>IF(ABS(G24-(B24+C24+D24+E24+F24))&lt;0.5,TRUE,G24-(B24+C24+D24+E24+F24))</f>
        <v/>
      </c>
    </row>
    <row r="25">
      <c r="A25" s="5" t="inlineStr">
        <is>
          <t xml:space="preserve">    기타포괄손익-공정가치 측정 지분상품 처분에 따른 대체</t>
        </is>
      </c>
      <c r="B25" s="7" t="n"/>
      <c r="C25" s="7" t="n"/>
      <c r="D25" s="7" t="n"/>
      <c r="E25" s="7" t="n">
        <v>-37803545</v>
      </c>
      <c r="F25" s="7" t="n">
        <v>37803545</v>
      </c>
      <c r="G25" s="7" t="n"/>
    </row>
    <row r="26">
      <c r="A26" s="5" t="inlineStr">
        <is>
          <t xml:space="preserve">    소유주와의 거래</t>
        </is>
      </c>
      <c r="B26" s="7" t="n"/>
      <c r="C26" s="7" t="n"/>
      <c r="D26" s="7" t="n"/>
      <c r="E26" s="7" t="n"/>
      <c r="F26" s="7" t="n"/>
      <c r="G26" s="7" t="n"/>
    </row>
    <row r="27">
      <c r="A27" s="5" t="inlineStr">
        <is>
          <t xml:space="preserve">    배당금 지급</t>
        </is>
      </c>
      <c r="B27" s="7" t="n"/>
      <c r="C27" s="7" t="n"/>
      <c r="D27" s="7" t="n"/>
      <c r="E27" s="7" t="n"/>
      <c r="F27" s="7" t="n">
        <v>-2160000000</v>
      </c>
      <c r="G27" s="7" t="n">
        <v>-2160000000</v>
      </c>
      <c r="H27" s="17">
        <f>IF(ABS(G27-(B27+C27+D27+E27+F27))&lt;0.5,TRUE,G27-(B27+C27+D27+E27+F27))</f>
        <v/>
      </c>
    </row>
    <row r="28">
      <c r="A28" s="5" t="inlineStr">
        <is>
          <t xml:space="preserve">    주식보상비용</t>
        </is>
      </c>
      <c r="B28" s="7" t="n"/>
      <c r="C28" s="7" t="n"/>
      <c r="D28" s="7" t="n">
        <v>32380000</v>
      </c>
      <c r="E28" s="7" t="n"/>
      <c r="F28" s="7" t="n"/>
      <c r="G28" s="7" t="n">
        <v>32380000</v>
      </c>
      <c r="H28" s="17">
        <f>IF(ABS(G28-(B28+C28+D28+E28+F28))&lt;0.5,TRUE,G28-(B28+C28+D28+E28+F28))</f>
        <v/>
      </c>
    </row>
    <row r="29">
      <c r="A29" s="8" t="inlineStr">
        <is>
          <t>2025년 12월 31일(당기말)</t>
        </is>
      </c>
      <c r="B29" s="9" t="n">
        <v>6000000000</v>
      </c>
      <c r="C29" s="9" t="n">
        <v>2412507508</v>
      </c>
      <c r="D29" s="9" t="n">
        <v>-113906642</v>
      </c>
      <c r="E29" s="9" t="n">
        <v>-796532768</v>
      </c>
      <c r="F29" s="9" t="n">
        <v>12178645777</v>
      </c>
      <c r="G29" s="9" t="n">
        <v>19680713875</v>
      </c>
      <c r="H29" s="17">
        <f>IF(ABS(G29-(B29+C29+D29+E29+F29))&lt;0.5,TRUE,G29-(B29+C29+D29+E29+F29))</f>
        <v/>
      </c>
    </row>
    <row r="31">
      <c r="A31" s="10" t="inlineStr">
        <is>
          <t>■ 푸팅 검증 (소계 − Σ직계 항목)</t>
        </is>
      </c>
    </row>
    <row r="32">
      <c r="A32" s="2" t="inlineStr">
        <is>
          <t>2024년 12월 31일(전기말) = 2024년 1월 1일(전기초) + 변동 (행 6~17)</t>
        </is>
      </c>
      <c r="B32" s="17">
        <f>IF(ABS(B17-(B6+B8+B10+B11+B13+B15+B16))&lt;0.5,TRUE,B17-(B6+B8+B10+B11+B13+B15+B16))</f>
        <v/>
      </c>
      <c r="C32" s="17">
        <f>IF(ABS(C17-(C6+C8+C10+C11+C13+C15+C16))&lt;0.5,TRUE,C17-(C6+C8+C10+C11+C13+C15+C16))</f>
        <v/>
      </c>
      <c r="D32" s="17">
        <f>IF(ABS(D17-(D6+D8+D10+D11+D13+D15+D16))&lt;0.5,TRUE,D17-(D6+D8+D10+D11+D13+D15+D16))</f>
        <v/>
      </c>
      <c r="E32" s="17">
        <f>IF(ABS(E17-(E6+E8+E10+E11+E13+E15+E16))&lt;0.5,TRUE,E17-(E6+E8+E10+E11+E13+E15+E16))</f>
        <v/>
      </c>
      <c r="F32" s="17">
        <f>IF(ABS(F17-(F6+F8+F10+F11+F13+F15+F16))&lt;0.5,TRUE,F17-(F6+F8+F10+F11+F13+F15+F16))</f>
        <v/>
      </c>
      <c r="G32" s="17">
        <f>IF(ABS(G17-(G6+G8+G10+G11+G13+G15+G16))&lt;0.5,TRUE,G17-(G6+G8+G10+G11+G13+G15+G16))</f>
        <v/>
      </c>
    </row>
    <row r="33">
      <c r="A33" s="2" t="inlineStr">
        <is>
          <t>2025년 1월 1일(당기초) = 2024년 12월 31일(전기말) + 변동 (행 17~18)</t>
        </is>
      </c>
      <c r="B33" s="17">
        <f>IF(ABS(B18-(B17))&lt;0.5,TRUE,B18-(B17))</f>
        <v/>
      </c>
      <c r="C33" s="17">
        <f>IF(ABS(C18-(C17))&lt;0.5,TRUE,C18-(C17))</f>
        <v/>
      </c>
      <c r="D33" s="17">
        <f>IF(ABS(D18-(D17))&lt;0.5,TRUE,D18-(D17))</f>
        <v/>
      </c>
      <c r="E33" s="17">
        <f>IF(ABS(E18-(E17))&lt;0.5,TRUE,E18-(E17))</f>
        <v/>
      </c>
      <c r="F33" s="17">
        <f>IF(ABS(F18-(F17))&lt;0.5,TRUE,F18-(F17))</f>
        <v/>
      </c>
      <c r="G33" s="17">
        <f>IF(ABS(G18-(G17))&lt;0.5,TRUE,G18-(G17))</f>
        <v/>
      </c>
    </row>
    <row r="34">
      <c r="A34" s="2" t="inlineStr">
        <is>
          <t>2025년 12월 31일(당기말) = 2025년 1월 1일(당기초) + 변동 (행 18~29)</t>
        </is>
      </c>
      <c r="B34" s="17">
        <f>IF(ABS(B29-(B18+B20+B22+B23+B25+B27+B28))&lt;0.5,TRUE,B29-(B18+B20+B22+B23+B25+B27+B28))</f>
        <v/>
      </c>
      <c r="C34" s="17">
        <f>IF(ABS(C29-(C18+C20+C22+C23+C25+C27+C28))&lt;0.5,TRUE,C29-(C18+C20+C22+C23+C25+C27+C28))</f>
        <v/>
      </c>
      <c r="D34" s="17">
        <f>IF(ABS(D29-(D18+D20+D22+D23+D25+D27+D28))&lt;0.5,TRUE,D29-(D18+D20+D22+D23+D25+D27+D28))</f>
        <v/>
      </c>
      <c r="E34" s="17">
        <f>IF(ABS(E29-(E18+E20+E22+E23+E25+E27+E28))&lt;0.5,TRUE,E29-(E18+E20+E22+E23+E25+E27+E28))</f>
        <v/>
      </c>
      <c r="F34" s="17">
        <f>IF(ABS(F29-(F18+F20+F22+F23+F25+F27+F28))&lt;0.5,TRUE,F29-(F18+F20+F22+F23+F25+F27+F28))</f>
        <v/>
      </c>
      <c r="G34" s="17">
        <f>IF(ABS(G29-(G18+G20+G22+G23+G25+G27+G28))&lt;0.5,TRUE,G29-(G18+G20+G22+G23+G25+G27+G28))</f>
        <v/>
      </c>
    </row>
    <row r="36">
      <c r="A36" s="10" t="inlineStr">
        <is>
          <t>■ 크로스 참조</t>
        </is>
      </c>
    </row>
    <row r="37">
      <c r="A37" s="2" t="inlineStr">
        <is>
          <t>자본변동표 기말 총계 = 재무상태표 자본총계 (당기)</t>
        </is>
      </c>
      <c r="B37" s="17">
        <f>IF(ABS(G29-'BS'!B42)&lt;0.5,TRUE,G29-'BS'!B42)</f>
        <v/>
      </c>
      <c r="C37" s="2" t="inlineStr">
        <is>
          <t>→ BS!B42</t>
        </is>
      </c>
    </row>
    <row r="38">
      <c r="A38" s="2" t="inlineStr">
        <is>
          <t>자본변동표 순이익 = 손익계산서 순이익 (기간 1)</t>
        </is>
      </c>
      <c r="B38" s="17">
        <f>IF(ABS(F20-'PL'!B17)&lt;0.5,TRUE,F20-'PL'!B17)</f>
        <v/>
      </c>
      <c r="C38" s="2" t="inlineStr">
        <is>
          <t>→ PL!B17</t>
        </is>
      </c>
    </row>
    <row r="39">
      <c r="A39" s="2" t="inlineStr">
        <is>
          <t>자본변동표 순이익 = 손익계산서 순이익 (기간 2)</t>
        </is>
      </c>
      <c r="B39" s="17">
        <f>IF(ABS(F8-'PL'!C17)&lt;0.5,TRUE,F8-'PL'!C17)</f>
        <v/>
      </c>
      <c r="C39" s="2" t="inlineStr">
        <is>
          <t>→ PL!C17</t>
        </is>
      </c>
    </row>
  </sheetData>
  <conditionalFormatting sqref="B32:B34">
    <cfRule type="expression" priority="1" dxfId="0">
      <formula>ISNUMBER(B32)</formula>
    </cfRule>
  </conditionalFormatting>
  <conditionalFormatting sqref="C32:C34">
    <cfRule type="expression" priority="2" dxfId="0">
      <formula>ISNUMBER(C32)</formula>
    </cfRule>
  </conditionalFormatting>
  <conditionalFormatting sqref="D32:D34">
    <cfRule type="expression" priority="3" dxfId="0">
      <formula>ISNUMBER(D32)</formula>
    </cfRule>
  </conditionalFormatting>
  <conditionalFormatting sqref="E32:E34">
    <cfRule type="expression" priority="4" dxfId="0">
      <formula>ISNUMBER(E32)</formula>
    </cfRule>
  </conditionalFormatting>
  <conditionalFormatting sqref="F32:F34">
    <cfRule type="expression" priority="5" dxfId="0">
      <formula>ISNUMBER(F32)</formula>
    </cfRule>
  </conditionalFormatting>
  <conditionalFormatting sqref="G32:G34">
    <cfRule type="expression" priority="6" dxfId="0">
      <formula>ISNUMBER(G32)</formula>
    </cfRule>
  </conditionalFormatting>
  <conditionalFormatting sqref="H6">
    <cfRule type="expression" priority="7" dxfId="0">
      <formula>ISNUMBER(H6)</formula>
    </cfRule>
  </conditionalFormatting>
  <conditionalFormatting sqref="H8">
    <cfRule type="expression" priority="8" dxfId="0">
      <formula>ISNUMBER(H8)</formula>
    </cfRule>
  </conditionalFormatting>
  <conditionalFormatting sqref="H10:H12">
    <cfRule type="expression" priority="9" dxfId="0">
      <formula>ISNUMBER(H10)</formula>
    </cfRule>
  </conditionalFormatting>
  <conditionalFormatting sqref="H15:H18">
    <cfRule type="expression" priority="10" dxfId="0">
      <formula>ISNUMBER(H15)</formula>
    </cfRule>
  </conditionalFormatting>
  <conditionalFormatting sqref="H20">
    <cfRule type="expression" priority="11" dxfId="0">
      <formula>ISNUMBER(H20)</formula>
    </cfRule>
  </conditionalFormatting>
  <conditionalFormatting sqref="H22:H24">
    <cfRule type="expression" priority="12" dxfId="0">
      <formula>ISNUMBER(H22)</formula>
    </cfRule>
  </conditionalFormatting>
  <conditionalFormatting sqref="H27:H29">
    <cfRule type="expression" priority="13" dxfId="0">
      <formula>ISNUMBER(H27)</formula>
    </cfRule>
  </conditionalFormatting>
  <conditionalFormatting sqref="B37:B39">
    <cfRule type="expression" priority="14" dxfId="0">
      <formula>ISNUMBER(B37)</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8" customWidth="1" min="2" max="2"/>
    <col width="18" customWidth="1" min="3" max="3"/>
    <col width="40" customWidth="1" min="5" max="5"/>
  </cols>
  <sheetData>
    <row r="1">
      <c r="A1" s="14" t="inlineStr">
        <is>
          <t>현금흐름표</t>
        </is>
      </c>
      <c r="L1" s="15">
        <f>HYPERLINK("#총괄표!A1","◀ 총괄표")</f>
        <v/>
      </c>
    </row>
    <row r="2">
      <c r="A2" s="2" t="inlineStr">
        <is>
          <t>제 24(당) 기 / 제 23(전) 기</t>
        </is>
      </c>
    </row>
    <row r="3">
      <c r="A3" s="2" t="inlineStr">
        <is>
          <t>(단위: 원)</t>
        </is>
      </c>
    </row>
    <row r="5">
      <c r="A5" s="3" t="inlineStr">
        <is>
          <t>과            목</t>
        </is>
      </c>
      <c r="B5" s="3" t="inlineStr">
        <is>
          <t>제 24(당) 기</t>
        </is>
      </c>
      <c r="C5" s="3" t="inlineStr">
        <is>
          <t>제 23(전) 기</t>
        </is>
      </c>
      <c r="E5" s="3" t="inlineStr">
        <is>
          <t>비        고</t>
        </is>
      </c>
    </row>
    <row r="6">
      <c r="A6" s="16" t="inlineStr">
        <is>
          <t>Ⅰ.영업활동으로 인한 현금흐름</t>
        </is>
      </c>
      <c r="B6" s="7" t="n">
        <v>62790389</v>
      </c>
      <c r="C6" s="7" t="n">
        <v>2355960139</v>
      </c>
    </row>
    <row r="7">
      <c r="A7" s="5" t="inlineStr">
        <is>
          <t xml:space="preserve">    영업으로부터 창출된 현금흐름</t>
        </is>
      </c>
      <c r="B7" s="7" t="n">
        <v>109355005</v>
      </c>
      <c r="C7" s="7" t="n">
        <v>2631298470</v>
      </c>
    </row>
    <row r="8">
      <c r="A8" s="5" t="inlineStr">
        <is>
          <t xml:space="preserve">    이자의수취</t>
        </is>
      </c>
      <c r="B8" s="7" t="n">
        <v>159351163</v>
      </c>
      <c r="C8" s="7" t="n">
        <v>182783651</v>
      </c>
    </row>
    <row r="9">
      <c r="A9" s="5" t="inlineStr">
        <is>
          <t xml:space="preserve">    이자의지급</t>
        </is>
      </c>
      <c r="B9" s="7" t="n">
        <v>-8232160</v>
      </c>
      <c r="C9" s="7" t="n">
        <v>-61042963</v>
      </c>
    </row>
    <row r="10">
      <c r="A10" s="5" t="inlineStr">
        <is>
          <t xml:space="preserve">    배당의수취</t>
        </is>
      </c>
      <c r="B10" s="7" t="n">
        <v>70691884</v>
      </c>
      <c r="C10" s="7" t="n">
        <v>30420392</v>
      </c>
    </row>
    <row r="11">
      <c r="A11" s="5" t="inlineStr">
        <is>
          <t xml:space="preserve">    법인세납부</t>
        </is>
      </c>
      <c r="B11" s="7" t="n">
        <v>-268375503</v>
      </c>
      <c r="C11" s="7" t="n">
        <v>-427499411</v>
      </c>
    </row>
    <row r="12">
      <c r="A12" s="16" t="inlineStr">
        <is>
          <t>Ⅱ.투자활동으로 인한 현금흐름</t>
        </is>
      </c>
      <c r="B12" s="7" t="n">
        <v>-763129087</v>
      </c>
      <c r="C12" s="7" t="n">
        <v>828645529</v>
      </c>
    </row>
    <row r="13">
      <c r="A13" s="5" t="inlineStr">
        <is>
          <t xml:space="preserve">    단기대여금의 회수</t>
        </is>
      </c>
      <c r="B13" s="7" t="n">
        <v>41476720</v>
      </c>
      <c r="C13" s="7" t="n">
        <v>55666720</v>
      </c>
    </row>
    <row r="14">
      <c r="A14" s="5" t="inlineStr">
        <is>
          <t xml:space="preserve">    장기대여금의 회수</t>
        </is>
      </c>
      <c r="B14" s="7" t="n">
        <v>29499880</v>
      </c>
      <c r="C14" s="7" t="n"/>
    </row>
    <row r="15">
      <c r="A15" s="5" t="inlineStr">
        <is>
          <t xml:space="preserve">    임차보증금의 감소</t>
        </is>
      </c>
      <c r="B15" s="7" t="n"/>
      <c r="C15" s="7" t="n">
        <v>1870593</v>
      </c>
    </row>
    <row r="16">
      <c r="A16" s="5" t="inlineStr">
        <is>
          <t xml:space="preserve">    유형자산의 처분</t>
        </is>
      </c>
      <c r="B16" s="7" t="n">
        <v>5554546</v>
      </c>
      <c r="C16" s="7" t="n"/>
    </row>
    <row r="17">
      <c r="A17" s="5" t="inlineStr">
        <is>
          <t xml:space="preserve">    당기손익-공정가치 측정 금융자산의 처분</t>
        </is>
      </c>
      <c r="B17" s="7" t="n">
        <v>5441040815</v>
      </c>
      <c r="C17" s="7" t="n"/>
    </row>
    <row r="18">
      <c r="A18" s="5" t="inlineStr">
        <is>
          <t xml:space="preserve">    기타포괄손익-공정가치 측정 금융자산의 처분</t>
        </is>
      </c>
      <c r="B18" s="7" t="n">
        <v>599000448</v>
      </c>
      <c r="C18" s="7" t="n">
        <v>2777550905</v>
      </c>
    </row>
    <row r="19">
      <c r="A19" s="5" t="inlineStr">
        <is>
          <t xml:space="preserve">    단기대여금의 대여</t>
        </is>
      </c>
      <c r="B19" s="7" t="n">
        <v>-6000000</v>
      </c>
      <c r="C19" s="7" t="n">
        <v>-18750000</v>
      </c>
    </row>
    <row r="20">
      <c r="A20" s="5" t="inlineStr">
        <is>
          <t xml:space="preserve">    장기대여금의 대여</t>
        </is>
      </c>
      <c r="B20" s="7" t="n">
        <v>-54000000</v>
      </c>
      <c r="C20" s="7" t="n">
        <v>-31250000</v>
      </c>
    </row>
    <row r="21">
      <c r="A21" s="5" t="inlineStr">
        <is>
          <t xml:space="preserve">    유형자산의 취득</t>
        </is>
      </c>
      <c r="B21" s="7" t="n">
        <v>-96611000</v>
      </c>
      <c r="C21" s="7" t="n">
        <v>-195206073</v>
      </c>
    </row>
    <row r="22">
      <c r="A22" s="5" t="inlineStr">
        <is>
          <t xml:space="preserve">    당기손익-공정가치 측정 금융자산의 취득</t>
        </is>
      </c>
      <c r="B22" s="7" t="n">
        <v>-5798291786</v>
      </c>
      <c r="C22" s="7" t="n">
        <v>-1000000000</v>
      </c>
    </row>
    <row r="23">
      <c r="A23" s="5" t="inlineStr">
        <is>
          <t xml:space="preserve">    기타포괄손익-공정가치 측정 금융자산의 취득</t>
        </is>
      </c>
      <c r="B23" s="7" t="n">
        <v>-924798710</v>
      </c>
      <c r="C23" s="7" t="n">
        <v>-761236616</v>
      </c>
    </row>
    <row r="24">
      <c r="A24" s="16" t="inlineStr">
        <is>
          <t>Ⅲ.재무활동으로 인한 현금흐름</t>
        </is>
      </c>
      <c r="B24" s="7" t="n">
        <v>-2337001160</v>
      </c>
      <c r="C24" s="7" t="n">
        <v>-3678045164</v>
      </c>
    </row>
    <row r="25">
      <c r="A25" s="5" t="inlineStr">
        <is>
          <t xml:space="preserve">    차입금의 상환</t>
        </is>
      </c>
      <c r="B25" s="7" t="n"/>
      <c r="C25" s="7" t="n">
        <v>-1340000000</v>
      </c>
    </row>
    <row r="26">
      <c r="A26" s="5" t="inlineStr">
        <is>
          <t xml:space="preserve">    배당금지급</t>
        </is>
      </c>
      <c r="B26" s="7" t="n">
        <v>-2160000000</v>
      </c>
      <c r="C26" s="7" t="n">
        <v>-2160000000</v>
      </c>
    </row>
    <row r="27">
      <c r="A27" s="5" t="inlineStr">
        <is>
          <t xml:space="preserve">    리스부채의 상환</t>
        </is>
      </c>
      <c r="B27" s="7" t="n">
        <v>-177001160</v>
      </c>
      <c r="C27" s="7" t="n">
        <v>-178045164</v>
      </c>
    </row>
    <row r="28">
      <c r="A28" s="16" t="inlineStr">
        <is>
          <t>Ⅳ.현금및현금성자산의 감소</t>
        </is>
      </c>
      <c r="B28" s="7" t="n">
        <v>-3037339858</v>
      </c>
      <c r="C28" s="7" t="n">
        <v>-493439496</v>
      </c>
    </row>
    <row r="29">
      <c r="A29" s="16" t="inlineStr">
        <is>
          <t>Ⅴ.기초 현금및현금성자산</t>
        </is>
      </c>
      <c r="B29" s="7" t="n">
        <v>7065892198</v>
      </c>
      <c r="C29" s="7" t="n">
        <v>7557380795</v>
      </c>
    </row>
    <row r="30">
      <c r="A30" s="16" t="inlineStr">
        <is>
          <t>Ⅵ.현금및현금성자산의 환율변동효과</t>
        </is>
      </c>
      <c r="B30" s="7" t="n">
        <v>-2372631</v>
      </c>
      <c r="C30" s="7" t="n">
        <v>1950899</v>
      </c>
    </row>
    <row r="31">
      <c r="A31" s="8" t="inlineStr">
        <is>
          <t>Ⅶ.기말 현금및현금성자산</t>
        </is>
      </c>
      <c r="B31" s="9" t="n">
        <v>4026179709</v>
      </c>
      <c r="C31" s="9" t="n">
        <v>7065892198</v>
      </c>
    </row>
    <row r="33">
      <c r="A33" s="10" t="inlineStr">
        <is>
          <t>■ 푸팅 검증 (소계 − Σ직계 항목)</t>
        </is>
      </c>
    </row>
    <row r="34">
      <c r="A34" s="2" t="inlineStr">
        <is>
          <t>Ⅰ.영업활동으로 인한 현금흐름  (행 6 = Σ행 7~11)</t>
        </is>
      </c>
      <c r="B34" s="17">
        <f>IF(ABS(B6-((B7+B8+B9+B10+B11)))&lt;0.5,TRUE,B6-((B7+B8+B9+B10+B11)))</f>
        <v/>
      </c>
      <c r="C34" s="17">
        <f>IF(ABS(C6-((C7+C8+C9+C10+C11)))&lt;0.5,TRUE,C6-((C7+C8+C9+C10+C11)))</f>
        <v/>
      </c>
    </row>
    <row r="35">
      <c r="A35" s="2" t="inlineStr">
        <is>
          <t>Ⅱ.투자활동으로 인한 현금흐름  (행 12 = Σ행 13~23)</t>
        </is>
      </c>
      <c r="B35" s="17">
        <f>IF(ABS(B12-((B13+B14+B15+B16+B17+B18+B19+B20+B21+B22+B23)))&lt;0.5,TRUE,B12-((B13+B14+B15+B16+B17+B18+B19+B20+B21+B22+B23)))</f>
        <v/>
      </c>
      <c r="C35" s="17">
        <f>IF(ABS(C12-((C13+C14+C15+C16+C17+C18+C19+C20+C21+C22+C23)))&lt;0.5,TRUE,C12-((C13+C14+C15+C16+C17+C18+C19+C20+C21+C22+C23)))</f>
        <v/>
      </c>
    </row>
    <row r="36">
      <c r="A36" s="2" t="inlineStr">
        <is>
          <t>Ⅲ.재무활동으로 인한 현금흐름  (행 24 = Σ행 25~27)</t>
        </is>
      </c>
      <c r="B36" s="17">
        <f>IF(ABS(B24-((B25+B26+B27)))&lt;0.5,TRUE,B24-((B25+B26+B27)))</f>
        <v/>
      </c>
      <c r="C36" s="17">
        <f>IF(ABS(C24-((C25+C26+C27)))&lt;0.5,TRUE,C24-((C25+C26+C27)))</f>
        <v/>
      </c>
    </row>
    <row r="38">
      <c r="A38" s="10" t="inlineStr">
        <is>
          <t>■ 산식 검증 (비단순합)</t>
        </is>
      </c>
    </row>
    <row r="39">
      <c r="A39" s="2" t="inlineStr">
        <is>
          <t>Ⅳ.현금및현금성자산의 감소 = 직전 소계 + 사이 항목  (행 28)</t>
        </is>
      </c>
      <c r="B39" s="17">
        <f>IF(ABS(B28-(+B6+B12+B24))&lt;0.5,TRUE,B28-(+B6+B12+B24))</f>
        <v/>
      </c>
      <c r="C39" s="17">
        <f>IF(ABS(C28-(+C6+C12+C24))&lt;0.5,TRUE,C28-(+C6+C12+C24))</f>
        <v/>
      </c>
    </row>
    <row r="40">
      <c r="A40" s="2" t="inlineStr">
        <is>
          <t>Ⅶ.기말 현금및현금성자산 = 직전 소계 + 사이 항목  (행 31)</t>
        </is>
      </c>
      <c r="B40" s="17">
        <f>IF(ABS(B31-(+B28+B29+B30))&lt;0.5,TRUE,B31-(+B28+B29+B30))</f>
        <v/>
      </c>
      <c r="C40" s="17">
        <f>IF(ABS(C31-(+C28+C29+C30))&lt;0.5,TRUE,C31-(+C28+C29+C30))</f>
        <v/>
      </c>
    </row>
  </sheetData>
  <conditionalFormatting sqref="B34:B36">
    <cfRule type="expression" priority="1" dxfId="0">
      <formula>ISNUMBER(B34)</formula>
    </cfRule>
  </conditionalFormatting>
  <conditionalFormatting sqref="C34:C36">
    <cfRule type="expression" priority="2" dxfId="0">
      <formula>ISNUMBER(C34)</formula>
    </cfRule>
  </conditionalFormatting>
  <conditionalFormatting sqref="B39:B40">
    <cfRule type="expression" priority="3" dxfId="0">
      <formula>ISNUMBER(B39)</formula>
    </cfRule>
  </conditionalFormatting>
  <conditionalFormatting sqref="C39:C40">
    <cfRule type="expression" priority="4" dxfId="0">
      <formula>ISNUMBER(C39)</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1. 회사의 개요</t>
        </is>
      </c>
      <c r="J1" s="15">
        <f>HYPERLINK("#총괄표!A1","◀ 총괄표")</f>
        <v/>
      </c>
    </row>
    <row r="3">
      <c r="A3" s="2" t="inlineStr">
        <is>
          <t>주식회사 케이씨에스(이하 "당사")는 금융기관에 사용되는 중대형 서버 등의 제조, 판매 및 유지보수를 목적으로 한국지주(주)로부터 물적분할에 의하여 2002년 12월 1일 설립되었습니다. 당사는 경상북도 구미시 3공단1로 284(임수동)에 본점을 두고 있으며 서울특별시 마포구에 지점을 두고 있습니다.당사는 2009년 8월 31일자 임시주주총회의 결의에 의거 당사의 상호를 주식회사 케이씨아이에서 주식회사 케이씨에스로 변경하였습니다. 또한 당사는 2010년 4월 14일자로 한국거래소가 개설하는 코스닥(KOSDAQ)시장에 주식을 상장하였습니다.</t>
        </is>
      </c>
    </row>
    <row r="4">
      <c r="A4" s="2" t="inlineStr">
        <is>
          <t>당기말과 전기말 현재 당사의 주요 주주현황은 다음과 같습니다.</t>
        </is>
      </c>
    </row>
    <row r="5">
      <c r="A5" s="3" t="inlineStr">
        <is>
          <t>주주명</t>
        </is>
      </c>
      <c r="B5" s="3" t="inlineStr">
        <is>
          <t>당기말</t>
        </is>
      </c>
      <c r="C5" s="3" t="inlineStr">
        <is>
          <t>당기말</t>
        </is>
      </c>
      <c r="D5" s="3" t="inlineStr">
        <is>
          <t>전기말</t>
        </is>
      </c>
      <c r="E5" s="3" t="inlineStr">
        <is>
          <t>전기말</t>
        </is>
      </c>
    </row>
    <row r="6">
      <c r="A6" s="3" t="inlineStr">
        <is>
          <t>주주명</t>
        </is>
      </c>
      <c r="B6" s="3" t="inlineStr">
        <is>
          <t>주식수(주)</t>
        </is>
      </c>
      <c r="C6" s="3" t="inlineStr">
        <is>
          <t>지분율</t>
        </is>
      </c>
      <c r="D6" s="3" t="inlineStr">
        <is>
          <t>주식수(주)</t>
        </is>
      </c>
      <c r="E6" s="3" t="inlineStr">
        <is>
          <t>지분율</t>
        </is>
      </c>
    </row>
    <row r="7">
      <c r="A7" s="5" t="inlineStr">
        <is>
          <t>한국지주(주)</t>
        </is>
      </c>
      <c r="B7" s="7" t="n">
        <v>8000000</v>
      </c>
      <c r="C7" s="4" t="inlineStr">
        <is>
          <t>66.67%</t>
        </is>
      </c>
      <c r="D7" s="7" t="n">
        <v>8000000</v>
      </c>
      <c r="E7" s="4" t="inlineStr">
        <is>
          <t>66.67%</t>
        </is>
      </c>
    </row>
    <row r="8">
      <c r="A8" s="5" t="inlineStr">
        <is>
          <t>기 타</t>
        </is>
      </c>
      <c r="B8" s="7" t="n">
        <v>4000000</v>
      </c>
      <c r="C8" s="4" t="inlineStr">
        <is>
          <t>33.33%</t>
        </is>
      </c>
      <c r="D8" s="7" t="n">
        <v>4000000</v>
      </c>
      <c r="E8" s="4" t="inlineStr">
        <is>
          <t>33.33%</t>
        </is>
      </c>
    </row>
    <row r="9">
      <c r="A9" s="8" t="inlineStr">
        <is>
          <t>합 계</t>
        </is>
      </c>
      <c r="B9" s="9" t="n">
        <v>12000000</v>
      </c>
      <c r="C9" s="18" t="inlineStr">
        <is>
          <t>100.00%</t>
        </is>
      </c>
      <c r="D9" s="9" t="n">
        <v>12000000</v>
      </c>
      <c r="E9" s="18" t="inlineStr">
        <is>
          <t>100.00%</t>
        </is>
      </c>
    </row>
    <row r="10">
      <c r="A10" s="2" t="inlineStr">
        <is>
          <t xml:space="preserve">  └ 푸팅검증: 합 계(행 9) − Σ(행)</t>
        </is>
      </c>
      <c r="B10" s="17">
        <f>IF(ABS(B9-(SUM(B7:B8)))&lt;0.5,TRUE,B9-(SUM(B7:B8)))</f>
        <v/>
      </c>
      <c r="D10" s="17">
        <f>IF(ABS(D9-(SUM(D7:D8)))&lt;0.5,TRUE,D9-(SUM(D7:D8)))</f>
        <v/>
      </c>
    </row>
  </sheetData>
  <conditionalFormatting sqref="B10">
    <cfRule type="expression" priority="1" dxfId="0">
      <formula>ISNUMBER(B10)</formula>
    </cfRule>
  </conditionalFormatting>
  <conditionalFormatting sqref="D10">
    <cfRule type="expression" priority="2" dxfId="0">
      <formula>ISNUMBER(D10)</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8"/>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2. 중요한 회계정책</t>
        </is>
      </c>
      <c r="J1" s="15">
        <f>HYPERLINK("#총괄표!A1","◀ 총괄표")</f>
        <v/>
      </c>
    </row>
    <row r="3">
      <c r="A3" s="2" t="inlineStr">
        <is>
          <t>다음은 재무제표 작성에 적용된 중요한 회계정책입니다. 이러한 정책은 별도의 언급이 없다면, 표시된 회계기간에 계속적으로 적용됩니다.</t>
        </is>
      </c>
    </row>
    <row r="4">
      <c r="A4" s="2" t="inlineStr">
        <is>
          <t>2.1 재무제표 작성 기준</t>
        </is>
      </c>
    </row>
    <row r="5">
      <c r="A5" s="2" t="inlineStr">
        <is>
          <t>당사의 재무제표는 한국채택국제회계기준(이하 "기업회계기준")에 따라 작성됐습니다. 한국채택국제회계기준은 국제회계기준위원회("IASB")가 발표한 기준서와 해석서 중 대한민국이 채택한 내용을 의미합니다.</t>
        </is>
      </c>
    </row>
    <row r="6">
      <c r="A6" s="2" t="inlineStr">
        <is>
          <t>재무제표는 다음을 제외하고는 역사적 원가에 기초하여 작성하였습니다.</t>
        </is>
      </c>
    </row>
    <row r="7">
      <c r="A7" s="5" t="inlineStr">
        <is>
          <t>-</t>
        </is>
      </c>
      <c r="B7" s="4" t="inlineStr">
        <is>
          <t>당기손익-공정가치로 측정되는 금융상품</t>
        </is>
      </c>
    </row>
    <row r="8">
      <c r="A8" s="5" t="inlineStr">
        <is>
          <t>-</t>
        </is>
      </c>
      <c r="B8" s="4" t="inlineStr">
        <is>
          <t>기타포괄손익-공정가치로 측정되는 금융상품</t>
        </is>
      </c>
    </row>
    <row r="9">
      <c r="A9" s="5" t="inlineStr">
        <is>
          <t>-</t>
        </is>
      </c>
      <c r="B9" s="4" t="inlineStr">
        <is>
          <t>확정급여채무의 현재가치에서 사외적립자산의 공정가치를 차감한 확정급여부채(자산)</t>
        </is>
      </c>
    </row>
    <row r="11">
      <c r="A11" s="2" t="inlineStr">
        <is>
          <t>기업회계기준은 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 3에서 설명하고 있습니다.</t>
        </is>
      </c>
    </row>
    <row r="12">
      <c r="A12" s="2" t="inlineStr">
        <is>
          <t>2.2 회계정책과 공시의 변경</t>
        </is>
      </c>
    </row>
    <row r="13">
      <c r="A13" s="2" t="inlineStr">
        <is>
          <t>2.2.1 당사가 채택한 제ㆍ개정 기준서 및 해석서당사는 2025년 1월 1일로 개시하는 회계기간부터 다음의 제ㆍ개정 기준서 및 해석서를 신규로 적용하였습니다.(1) 기업회계기준서 제1021호 '환율변동효과' 개정 - 교환가능성의 결여당사는 2025년 1월 1일부터 통화의 교환가능성을 평가하고 다른 통화와 교환이 가능하지 않다면 현물환율을 추정하며 관련 정보를 공시하도록 하는 개정사항을 적용하였습니다. 동 개정사항은 2025년 1월 1일 이후 시작하는 회계연도부터 적용되며, 조기적용이 허용됩니다. 해당 기준서의 개정이 재무제표에 미치는 중요한 영향은 없습니다.</t>
        </is>
      </c>
    </row>
    <row r="14">
      <c r="A14" s="2" t="inlineStr">
        <is>
          <t>2.2.2 당사가 적용하지 않은 제ㆍ개정 기준서 및 해석서</t>
        </is>
      </c>
    </row>
    <row r="15">
      <c r="A15" s="2" t="inlineStr">
        <is>
          <t>제정ㆍ공표되었으나 2025년 1월 1일 이후 시작하는 회계연도에 시행일이 도래하지 아니한 주요 제ㆍ개정 기준서 및 해석서는 다음과 같습니다. 당사는 재무제표 작성시다음의 제ㆍ개정 기준서 및 해석서를 조기적용하지 아니하였습니다. 다음의 제ㆍ개정 기준서가 당사에 미치는 영향을 검토하고 있습니다. - 금융상품 분류와 측정 요구사항(기업회계기준서 제1107호 '금융상품: 공시', 제1109호 '금융상품')- 재무제표 표시와 공시의 제정(기업회계기준서 제1118호 '재무제표 표시와 공시')- 연차개선(기업회계기준서 제1007호 '현금흐름표', 제1107호 '금융상품: 공시', 제1109호 '금융상품', 제1110호 '연결재무제표')</t>
        </is>
      </c>
    </row>
    <row r="16">
      <c r="A16" s="2" t="inlineStr">
        <is>
          <t>2.3 외화환산</t>
        </is>
      </c>
    </row>
    <row r="17">
      <c r="A17" s="2" t="inlineStr">
        <is>
          <t>(1) 기능통화와 표시통화</t>
        </is>
      </c>
    </row>
    <row r="18">
      <c r="A18" s="2" t="inlineStr">
        <is>
          <t>당사는 영업활동이 이뤄지는 주된 경제 환경에서의 통화("기능통화")를 적용하여 측정하고 있습니다. 당사의 기능통화는 대한민국 원화이며, 재무제표는 대한민국 원화로 표시되어 있습니다.</t>
        </is>
      </c>
    </row>
    <row r="19">
      <c r="A19" s="2" t="inlineStr">
        <is>
          <t>(2) 외화거래와 보고기간말의 환산</t>
        </is>
      </c>
    </row>
    <row r="20">
      <c r="A20" s="2" t="inlineStr">
        <is>
          <t>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t>
        </is>
      </c>
    </row>
    <row r="21">
      <c r="A21" s="2" t="inlineStr">
        <is>
          <t>차입금과 관련된 외환차이는 포괄손익계산서에 '금융비용'으로 표시되며, 다른 외환차이는 '기타영업외수익' 또는 '기타영업외비용'에 표시됩니다.</t>
        </is>
      </c>
    </row>
    <row r="22">
      <c r="A22" s="2" t="inlineStr">
        <is>
          <t>비화폐성 금융자산ㆍ부채로부터 발생하는 외환차이는 공정가치 변동손익의 일부로 보아 당기손익-공정가치 측정 지분상품으로부터 발생하는 외환차이는 당기손익으로, 기타포괄손익-공정가치 측정 지분상품의 외환차이는 기타포괄손익에 포함하여 인식됩니다.</t>
        </is>
      </c>
    </row>
    <row r="23">
      <c r="A23" s="2" t="inlineStr">
        <is>
          <t>2.4 금융자산</t>
        </is>
      </c>
    </row>
    <row r="24">
      <c r="A24" s="2" t="inlineStr">
        <is>
          <t>(1) 분류</t>
        </is>
      </c>
    </row>
    <row r="25">
      <c r="A25" s="2" t="inlineStr">
        <is>
          <t>당사는 다음의 측정 범주로 금융자산을 분류합니다.</t>
        </is>
      </c>
    </row>
    <row r="26">
      <c r="A26" s="2" t="inlineStr">
        <is>
          <t>- 당기손익-공정가치 측정 금융자산</t>
        </is>
      </c>
    </row>
    <row r="27">
      <c r="A27" s="2" t="inlineStr">
        <is>
          <t>- 기타포괄손익-공정가치 측정 금융자산</t>
        </is>
      </c>
    </row>
    <row r="28">
      <c r="A28" s="2" t="inlineStr">
        <is>
          <t>- 상각후원가 측정 금융자산</t>
        </is>
      </c>
    </row>
    <row r="29">
      <c r="A29" s="2" t="inlineStr">
        <is>
          <t>금융자산은 금융자산의 관리를 위한 사업모형과 금융자산의 계약상 현금흐름 특성에근거하여 분류합니다.</t>
        </is>
      </c>
    </row>
    <row r="30">
      <c r="A30" s="2" t="inlineStr">
        <is>
          <t>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당사는 금융자산을 관리하는 사업모형을 변경하는 경우에만 채무상품을 재분류합니다.</t>
        </is>
      </c>
    </row>
    <row r="31">
      <c r="A31" s="2" t="inlineStr">
        <is>
          <t>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t>
        </is>
      </c>
    </row>
    <row r="32">
      <c r="A32" s="2" t="inlineStr">
        <is>
          <t>(2) 측정</t>
        </is>
      </c>
    </row>
    <row r="33">
      <c r="A33" s="2" t="inlineStr">
        <is>
          <t>당사는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t>
        </is>
      </c>
    </row>
    <row r="34">
      <c r="A34" s="2" t="inlineStr">
        <is>
          <t>내재파생상품을 포함하는 복합계약은 계약상 현금흐름이 원금과 이자로만 구성되어 있는지를 결정할 때 해당 복합계약 전체를 고려합니다.</t>
        </is>
      </c>
    </row>
    <row r="35">
      <c r="A35" s="2" t="inlineStr">
        <is>
          <t>① 채무상품금융자산의 후속적인 측정은 금융자산의 계약상 현금흐름 특성과 그 금융자산을 관리하는 사업모형에 근거합니다. 당사는 채무상품을 다음의 세 범주로 분류합니다.</t>
        </is>
      </c>
    </row>
    <row r="36">
      <c r="A36" s="2" t="inlineStr">
        <is>
          <t>(가) 상각후원가 측정 금융자산계약상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t>
        </is>
      </c>
    </row>
    <row r="37">
      <c r="A37" s="2" t="inlineStr">
        <is>
          <t>(나) 기타포괄손익-공정가치 측정 금융자산계약상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'기타영업외수익' 또는 '기타영업외비용'으로 표시하고 손상차손은 '기타영업외비용'으로 표시합니다.</t>
        </is>
      </c>
    </row>
    <row r="38">
      <c r="A38" s="2" t="inlineStr">
        <is>
          <t>(다) 당기손익-공정가치 측정 금융자산상각후원가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포괄손익계산서에 '금융수익' 또는 '금융비용'으로 표시합니다.</t>
        </is>
      </c>
    </row>
    <row r="39">
      <c r="A39" s="2" t="inlineStr">
        <is>
          <t>② 지분상품</t>
        </is>
      </c>
    </row>
    <row r="40">
      <c r="A40" s="2" t="inlineStr">
        <is>
          <t>당사는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 때에도 당기손익으로 재분류하지 않습니다. 이러한 지분상품에 대한 배당수익은 당사가 배당을 받을 권리가 확정된 때 '금융수익'으로 당기손익으로 인식합니다. 당기손익-공정가치로 측정하는 금융자산의 공정가치 변동은 포괄손익계산서에 '금융수익' 또는 '금융비용'으로 표시합니다. 기타포괄손익-공정가치로 측정하는 지분상품에 대한 손상차손(환입)은 별도로 구분하여 인식하지 않습니다.</t>
        </is>
      </c>
    </row>
    <row r="41">
      <c r="A41" s="2" t="inlineStr">
        <is>
          <t>(3) 손상</t>
        </is>
      </c>
    </row>
    <row r="42">
      <c r="A42" s="2" t="inlineStr">
        <is>
          <t>당사는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당사는 채권의 최초 인식시점부터 전체기간 기대신용손실을 인식하는 간편법을 적용합니다.</t>
        </is>
      </c>
    </row>
    <row r="43">
      <c r="A43" s="2" t="inlineStr">
        <is>
          <t>(당사가 신용위험이 유의적으로 증가하였는지를 결정하는 방법은 주석 4.1.2 참조)</t>
        </is>
      </c>
    </row>
    <row r="44">
      <c r="A44" s="2" t="inlineStr">
        <is>
          <t>(4) 인식과 제거</t>
        </is>
      </c>
    </row>
    <row r="45">
      <c r="A45" s="2" t="inlineStr">
        <is>
          <t>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당사가 금융자산을 양도한 경우라도 채무자의 채무불이행시의 소구권 등으로 양도한 금융자산의 소유에 따른 위험과 보상의 대부분을 당사가 보유하는 경우에는 이를 제거하지 않고 그 양도자산 전체를 계속하여 인식하되, 수취한 대가를 금융부채로 인식합니다.</t>
        </is>
      </c>
    </row>
    <row r="46">
      <c r="A46" s="2" t="inlineStr">
        <is>
          <t>(5) 금융상품의 상계</t>
        </is>
      </c>
    </row>
    <row r="47">
      <c r="A47" s="2" t="inlineStr">
        <is>
          <t>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t>
        </is>
      </c>
    </row>
    <row r="48">
      <c r="A48" s="2" t="inlineStr">
        <is>
          <t>2.5 매출채권</t>
        </is>
      </c>
    </row>
    <row r="49">
      <c r="A49" s="2" t="inlineStr">
        <is>
          <t>매출채권은 유의적인 금융요소를 포함하지 않는 경우에는 무조건적인 대가의 금액으로, 유의적인 금융요소를 포함하는 경우에는 공정가치로 최초 인식합니다. 매출채권은 후속적으로 유효이자율법을 적용한 상각후원가에 손실충당금을 차감하여 측정됩니다(당사의 매출채권 회계처리에 대한 추가적인 사항은 주석 9, 손상에 대한 회계정책은 주석 4.1.2 참조).</t>
        </is>
      </c>
    </row>
    <row r="50">
      <c r="A50" s="2" t="inlineStr">
        <is>
          <t>2.6 재고자산 재고자산은 원가와 순실현가능가치 중 작은 금액으로 표시되고, 재고자산의 원가는 총평균법에 따라 결정됩니다.</t>
        </is>
      </c>
    </row>
    <row r="51">
      <c r="A51" s="2" t="inlineStr">
        <is>
          <t>2.7 유형자산</t>
        </is>
      </c>
    </row>
    <row r="52">
      <c r="A52" s="2" t="inlineStr">
        <is>
          <t>유형자산은 원가에서 감가상각누계액과 손상차손누계액을 차감하여 표시됩니다. 역사적 원가는 자산의 취득에 직접적으로 관련된 지출을 포함합니다.</t>
        </is>
      </c>
    </row>
    <row r="53">
      <c r="A53" s="2" t="inlineStr">
        <is>
          <t>토지를 제외한 자산은 취득원가에서 잔존가치를 제외하고, 다음의 추정 경제적 내용연수에 걸쳐 정액법으로 상각됩니다.</t>
        </is>
      </c>
    </row>
    <row r="54">
      <c r="A54" s="3" t="inlineStr">
        <is>
          <t>과 목</t>
        </is>
      </c>
      <c r="B54" s="3" t="inlineStr">
        <is>
          <t>추정 내용연수</t>
        </is>
      </c>
    </row>
    <row r="55">
      <c r="A55" s="5" t="inlineStr">
        <is>
          <t>건물</t>
        </is>
      </c>
      <c r="B55" s="4" t="inlineStr">
        <is>
          <t>40년</t>
        </is>
      </c>
    </row>
    <row r="56">
      <c r="A56" s="5" t="inlineStr">
        <is>
          <t>구축물</t>
        </is>
      </c>
      <c r="B56" s="4" t="inlineStr">
        <is>
          <t>5년</t>
        </is>
      </c>
    </row>
    <row r="57">
      <c r="A57" s="5" t="inlineStr">
        <is>
          <t>기계장치</t>
        </is>
      </c>
      <c r="B57" s="4" t="inlineStr">
        <is>
          <t>4년</t>
        </is>
      </c>
    </row>
    <row r="58">
      <c r="A58" s="5" t="inlineStr">
        <is>
          <t>차량운반구</t>
        </is>
      </c>
      <c r="B58" s="4" t="inlineStr">
        <is>
          <t>4년</t>
        </is>
      </c>
    </row>
    <row r="59">
      <c r="A59" s="5" t="inlineStr">
        <is>
          <t>집기비품</t>
        </is>
      </c>
      <c r="B59" s="4" t="inlineStr">
        <is>
          <t>4년</t>
        </is>
      </c>
    </row>
    <row r="61">
      <c r="A61" s="2" t="inlineStr">
        <is>
          <t>유형자산의 감가상각방법과 잔존가치 및 경제적 내용연수는 매 회계연도 말에 재검토 되고 필요한 경우 추정의 변경으로 조정됩니다.</t>
        </is>
      </c>
    </row>
    <row r="62">
      <c r="A62" s="2" t="inlineStr">
        <is>
          <t>2.8 차입원가 적격자산을 취득 또는 건설하는데 발생한 차입원가는 해당 자산을 의도된 용도로 사용할 수 있도록 준비하는 기간 동안 자본화되고, 적격자산을 취득하기 위한 특정목적차입금의 일시적 운용에서 발생한 투자수익은 당 회계기간 동안 자본화 가능한 차입원가에서 차감됩니다. 기타 차입원가는 발생기간에 비용으로 인식됩니다.</t>
        </is>
      </c>
    </row>
    <row r="63">
      <c r="A63" s="2" t="inlineStr">
        <is>
          <t>2.9 무형자산</t>
        </is>
      </c>
    </row>
    <row r="64">
      <c r="A64" s="2" t="inlineStr">
        <is>
          <t>당사의 무형자산은 회원권으로서 최초 인식할 때 원가로 측정하며, 최초 인식 후에 원가에서 손상차손누계액을 차감한 금액을 장부금액으로 인식하고 있습니다. 동 회원권은 이를 이용할 수 있을 것으로 기대되는 기간에 대하여 예측가능한 제한이 없으므로 내용연수가 한정되지 않아 상각되지 않습니다.</t>
        </is>
      </c>
    </row>
    <row r="65">
      <c r="A65" s="2" t="inlineStr">
        <is>
          <t>2.10 투자부동산임대수익이나 투자차익을 목적으로 보유하고 있는 부동산은 투자부동산으로 분류됩니다. 투자부동산은 최초 인식시점에 원가로 측정되며, 최초 인식 후에는 원가에서 감가상각누계액과 손상차손누계액을 차감한 금액으로 표시됩니다.</t>
        </is>
      </c>
    </row>
    <row r="66">
      <c r="A66" s="2" t="inlineStr">
        <is>
          <t>2.11 비금융자산의 손상내용연수가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t>
        </is>
      </c>
    </row>
    <row r="67">
      <c r="A67" s="2" t="inlineStr">
        <is>
          <t>2.12 매입채무와 기타지급채무</t>
        </is>
      </c>
    </row>
    <row r="68">
      <c r="A68" s="2" t="inlineStr">
        <is>
          <t>매입채무와 기타지급채무는 당사가 보고기간말 전에 재화나 용역을 제공받았으나 지급되지 않은 부채입니다. 해당 채무는 무담보이며, 보통 인식 후 60일 이내에 지급됩니다. 매입채무와 기타지급채무는 지급기일이 보고기간 후 12개월 후가 아니라면 유동부채로 표시되었습니다. 해당 채무들은 최초에 공정가치로 인식되고 후속적으로 유효이자율법을 적용한 상각후원가로 측정됩니다.</t>
        </is>
      </c>
    </row>
    <row r="69">
      <c r="A69" s="2" t="inlineStr">
        <is>
          <t>2.13 금융부채 (1) 분류 및 측정당기손익-공정가치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 상 '매입채무'와 '기타지급채무' 등으로 표시됩니다.</t>
        </is>
      </c>
    </row>
    <row r="70">
      <c r="A70" s="2" t="inlineStr">
        <is>
          <t>(2) 제거금융부채는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인식합니다.2.14 충당부채과거사건의 결과로 현재의 법적의무나 의제의무가 존재하고, 그 의무를 이행하기 위한 자원의 유출가능성이 높으며, 당해 금액의 신뢰성 있는 추정이 가능한 경우 복구충당부채 및 소송충당부채 등을 인식하고 있습니다. 충당부채는 의무를 이행하기 위하여 예상되는 지출액의 현재가치로 측정되며, 시간경과로 인한 충당부채의 증가는 이자비용으로 인식됩니다.</t>
        </is>
      </c>
    </row>
    <row r="71">
      <c r="A71" s="2" t="inlineStr">
        <is>
          <t>2.15 당기법인세 및 이연법인세법인세비용은 당기법인세와 이연법인세로 구성됩니다. 법인세는 기타포괄손익이나 자본에 직접 인식된 항목과 관련된 금액은 해당 항목에서 직접 인식하며, 이를 제외하고는 당기손익으로 인식됩니다.당기법인세비용은 보고기간말 현재 제정되었거나 실질적으로 제정된 세법에 근거하여 측정합니다. 경영진은 적용 가능한 세법 규정이 해석에 따라 달라질 수 있는 상황에 대하여 당사가 세무신고 시 적용한 세무정책에 대하여 주기적으로 평가하고 있으며, 세무당국이 불확실한 법인세 처리를 수용할 가능성이 높은지 고려합니다. 당사는법인세 측정 시 가장 가능성이 높은 금액 또는 기댓값 중 불확실성의 해소를 더 잘 예측할 것으로 예상되는 방법을 사용하여 불확실성의 영향을 반영합니다.이연법인세는 자산과 부채의 장부금액과 세무기준액의 차이로 발생하는 일시적차이에 대하여 장부금액을 회수하거나 결제할 때의 예상 법인세효과로 인식됩니다. 다만,사업결합 이외의 거래에서 자산ㆍ부채를 최초로 인식할 때 발생하는 이연법인세 자산과 부채는 그 거래가 회계이익이나 과세소득에 영향을 미치지 않는다면 인식되지 않습니다.</t>
        </is>
      </c>
    </row>
    <row r="72">
      <c r="A72" s="2" t="inlineStr">
        <is>
          <t>이연법인세자산은 차감할 일시적차이가 사용될 수 있는 미래 과세소득의 발생가능성이 높은 경우에 인식됩니다.이연법인세 자산과 부채는 법적으로 당기법인세자산과 당기법인세부채를 상계할 수 있는 권리를 당사가 보유하고 있고, 이연법인세 자산과 부채가 동일한 과세당국에 의해서 부과되는 법인세와 관련된 경우에 상계합니다. 당기법인세 자산과 부채는 법적으로 상계할 수 있는 권리를 당사가 보유하고 있고, 순액으로 결제할 의도가 있거나 자산을 실현하는 동시에 부채를 결제하려는 의도가 있는 경우에 상계합니다.</t>
        </is>
      </c>
    </row>
    <row r="73">
      <c r="A73" s="2" t="inlineStr">
        <is>
          <t>2.16 종업원급여(1) 퇴직급여당사의 퇴직연금제도는 확정급여제도입니다. 일반적으로 확정급여제도는 연령, 근속연수나 급여수준 등의 요소에 의하여 종업원이 퇴직할 때 지급받을 퇴직연금급여의 금액이 확정됩니다. 확정급여제도와 관련하여 재무상태표에 계상된 자산은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우량회사채의 이자율로 기대미래현금유출액을 할인하여 산정됩니다. 한편, 순확정급여자산과 관련한 재측정요소는 기타포괄손익으로 인식됩니다. 제도개정, 축소 또는 정산이 발생하는 경우, 과거근무원가 또는 정산으로 인한 손익은 당기손익으로 인식됩니다. (2) 주식기준보상 종업원에게 부여한 주식결제형 주식기준보상은 부여일에 지분상품의 공정가치로 측정되며, 가득기간에 걸쳐 종업원 급여비용으로 인식됩니다. 가득될 것으로 예상되는 지분상품의 수량은 매 보고기간말에 비시장성과조건을 고려하여 재측정되며, 당초 추정치로부터의 변동액은 당기손익과 자본으로 인식됩니다.</t>
        </is>
      </c>
    </row>
    <row r="74">
      <c r="A74" s="2" t="inlineStr">
        <is>
          <t>주식선택권의 행사시점에 신주를 발행할 때 직접적으로 관련되는 거래비용을 제외한순유입액은 자본금(명목가액)과 주식발행초과금으로 인식됩니다.</t>
        </is>
      </c>
    </row>
    <row r="75">
      <c r="A75" s="2" t="inlineStr">
        <is>
          <t>(3) 기타장기종업웝급여당사는 장기 근속 임직원에게 장기종업원급여를 제공하고 있습니다. 이 급여를 받을수 있는 권리는 주로 5년 이상의 장기간 근무한 임직원에게만 주어집니다. 기타장기종업원급여는 확정급여제도와 동일한 방법으로 측정되며, 근무원가, 기타장기종업원급여부채의 순이자 및 재측정요소는 당기손익으로 인식됩니다. 또한, 이러한 부채는 매년 독립적이고 적격한 보험계리사에 의해 평가됩니다.</t>
        </is>
      </c>
    </row>
    <row r="76">
      <c r="A76" s="2" t="inlineStr">
        <is>
          <t>2.17 수익인식당사는 고객과의 계약에서 구별되는 수행의무를 식별하고 의무를 이행한 시점에 수익을 인식합니다. 당사의 매출은 상품 및 용역매출, 기타매출 3개의 유형으로 구성되어 있습니다.(1) 상품매출당사는 고객에게 NSK, OGG, OGG DBMS 시스템 및 HSM 보안 장비 등을 판매하고있습니다. 재화의 판매에 따른 수익은 고객에게 재화의 통제가 이전되는 시점에 인식하고 있습니다.(2) 용역매출당사는 유지보수용역 및 개발용역을 제공합니다. 당사는 계약기간 동안 고객에게 유지보수용역 및 개발용역을 제공할 의무가 있으므로 용역을 제공하는 기간에 걸쳐 수익으로 인식하거나 용역이 완료되는 한 시점에 인식합니다. 한편, 당사가 고객과 체결한 일부 재화 공급계약은 다른 당사자가 재화를 제공하도록 주선하는 서비스에 해당합니다. 당사는 해당 계약에서 '대리인'에 해당하며, 그에 따라 관련 계약에 대한 수익은 순액으로 인식합니다.(3) 기타매출당사는 고객에게 임대용역을 제공합니다. 당사는 계약기간 동안 고객에게 임대용역을 제공할 의무가 있으므로 용역을 제공하는 기간에 걸쳐 수익으로 인식합니다. 한편, 당사는 고객에게 숙박서비스제공을 주선하는 용역을 수행합니다. 당사는 대리인으로서 서비스가 소비자에게 이전되기 전에 공급업체가 제공하는 서비스를 통제하지않으므로 소비자가 구매를 확정하여 통제권이 이전되거나 환불 의무가 더 이상 존재하지 않는 시점에 수익을 인식합니다. 당사의 수익은 소비자가 결제한 금액에서 공급업체에게 지급할 금액을 차감한 순액입니다.</t>
        </is>
      </c>
    </row>
    <row r="77">
      <c r="A77" s="2" t="inlineStr">
        <is>
          <t>2.18 리스</t>
        </is>
      </c>
    </row>
    <row r="78">
      <c r="A78" s="2" t="inlineStr">
        <is>
          <t>(1) 리스제공자당사가 리스제공자인 경우 운용리스에서 생기는 리스수익은 리스기간에 걸쳐 정액기준으로 인식합니다. 운용리스 체결 과정에서 부담하는 리스개설직접원가를 기초자산의 장부금액에 더하고 리스료 수익과 같은 기준으로 리스기간에 걸쳐 비용으로 인식합니다. 각 리스된 자산은 재무상태표에서 그 특성에 기초하여 표시하였습니다.</t>
        </is>
      </c>
    </row>
    <row r="79">
      <c r="A79" s="2" t="inlineStr">
        <is>
          <t>(2) 리스이용자당사는 사무실, 차량운반구를 리스하고 있습니다. 리스계약은 일반적으로 2~4년의 고정기간으로 체결되지만 아래에서 설명하는 연장선택권이 있을 수 있습니다.</t>
        </is>
      </c>
    </row>
    <row r="80">
      <c r="A80" s="2" t="inlineStr">
        <is>
          <t>계약에는 리스요소와 비리스요소가 모두 포함될 수 있습니다. 당사는 상대적 개별 가격에 기초하여 계약 대가를 리스요소와 비리스요소에 배분하였습니다.</t>
        </is>
      </c>
    </row>
    <row r="81">
      <c r="A81" s="2" t="inlineStr">
        <is>
          <t>리스조건은 개별적으로 협상되며 다양한 계약조건을 포함합니다. 리스계약에 따라 부과되는 다른 제약은 없지만 리스자산을 차입금의 담보로 제공할 수는 없습니다.</t>
        </is>
      </c>
    </row>
    <row r="82">
      <c r="A82" s="2" t="inlineStr">
        <is>
          <t>당사는 계약이 집행가능한 기간 내에서 해지불능기간에 리스이용자가 연장선택권을 행사 할 것이 상당히 확실한 경우의 그 대상기간과 종료선택권을 행사하지 않을 것이상당히 확실한 경우의 그 대상기간을 포함하여 리스기간을 산정합니다. 당사는 리스이용자와 리스제공자가 각각 다른 당사자의 동의없이 종료할 수 있는 권리가 있는 경우 계약을 종료할 때 부담할 경제적 불이익을 고려하여 집행가능기간을 산정합니다.</t>
        </is>
      </c>
    </row>
    <row r="83">
      <c r="A83" s="2" t="inlineStr">
        <is>
          <t>리스에서 생기는 자산과 부채는 최초에 현재가치기준으로 측정합니다. 리스부채는 다음 리스료의 순현재가치를 포함합니다.</t>
        </is>
      </c>
    </row>
    <row r="84">
      <c r="A84" s="5" t="inlineStr">
        <is>
          <t>-</t>
        </is>
      </c>
      <c r="B84" s="4" t="inlineStr">
        <is>
          <t>받을 리스 인센티브를 차감한 고정리스료(실질적인 고정리스료 포함)</t>
        </is>
      </c>
    </row>
    <row r="85">
      <c r="A85" s="5" t="inlineStr">
        <is>
          <t>-</t>
        </is>
      </c>
      <c r="B85" s="4" t="inlineStr">
        <is>
          <t>개시일 현재 지수나 요율을 사용하여 최초 측정한, 지수나 요율(이율)에 따라 달라지는 변동리스료</t>
        </is>
      </c>
    </row>
    <row r="86">
      <c r="A86" s="5" t="inlineStr">
        <is>
          <t>-</t>
        </is>
      </c>
      <c r="B86" s="4" t="inlineStr">
        <is>
          <t>잔존가치보증에 따라 당사(리스이용자)가 지급할 것으로 예상되는 금액</t>
        </is>
      </c>
    </row>
    <row r="87">
      <c r="A87" s="5" t="inlineStr">
        <is>
          <t>-</t>
        </is>
      </c>
      <c r="B87" s="4" t="inlineStr">
        <is>
          <t>당사(리스이용자)가 매수선택권을 행사할 것이 상당히 확실한 경우에 그 매수선택권의 행사가격</t>
        </is>
      </c>
    </row>
    <row r="88">
      <c r="A88" s="5" t="inlineStr">
        <is>
          <t>-</t>
        </is>
      </c>
      <c r="B88" s="4" t="inlineStr">
        <is>
          <t>리스기간이 당사(리스이용자)의 종료선택권 행사를 반영하는 경우에 그 리스를 종료하기 위하여 부담하는 금액</t>
        </is>
      </c>
    </row>
    <row r="90">
      <c r="A90" s="2" t="inlineStr">
        <is>
          <t>리스이용자가 리스연장선택권을 행사할 것이 상당히 확실한(reasonably certain) 경우 그 선택권의 행사에 따라 지급할 리스료 또한 리스부채의 측정에 포함됩니다.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t>
        </is>
      </c>
    </row>
    <row r="91">
      <c r="A91" s="2" t="inlineStr">
        <is>
          <t>당사는 증분차입이자율을 다음과 같이 산정합니다.</t>
        </is>
      </c>
    </row>
    <row r="92">
      <c r="A92" s="5" t="inlineStr">
        <is>
          <t>-</t>
        </is>
      </c>
      <c r="B92" s="4" t="inlineStr">
        <is>
          <t>가능하다면 개별 리스이용자가 받은 최근 제3자 금융 이자율에 제3자 금융을 받은 이후 재무상태의 변경을 반영</t>
        </is>
      </c>
    </row>
    <row r="93">
      <c r="A93" s="5" t="inlineStr">
        <is>
          <t>-</t>
        </is>
      </c>
      <c r="B93" s="4" t="inlineStr">
        <is>
          <t>국가, 통화, 담보, 보증과 같은 리스에 특정한 조정을 반영</t>
        </is>
      </c>
    </row>
    <row r="95">
      <c r="A95" s="2" t="inlineStr">
        <is>
          <t>개별 리스이용자가 리스와 비슷한 지급일정을 가진 분할상환 차입금 이자율을 쉽게 관측(최근의 금융 또는 시장 자료를 통해)할 수 있는 경우, 당사는 증분차입이자율을 산정할 때 그 이자율을 시작점으로 사용합니다.당사는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 사용권자산을 조정합니다.</t>
        </is>
      </c>
    </row>
    <row r="96">
      <c r="A96" s="2" t="inlineStr">
        <is>
          <t>각 리스료는 리스부채의 상환과 금융비용으로 배분합니다. 금융비용은 각 기간의 리스부채 잔액에 대하여 일정한 기간 이자율이 산출되도록 계산된 금액을 리스기간에 걸쳐 당기손익으로 인식합니다.</t>
        </is>
      </c>
    </row>
    <row r="97">
      <c r="A97" s="2" t="inlineStr">
        <is>
          <t>사용권자산은 다음 항목들로 구성된 원가로 측정합니다.</t>
        </is>
      </c>
    </row>
    <row r="98">
      <c r="A98" s="5" t="inlineStr">
        <is>
          <t>-</t>
        </is>
      </c>
      <c r="B98" s="4" t="inlineStr">
        <is>
          <t>리스부채의 최초 측정금액</t>
        </is>
      </c>
    </row>
    <row r="99">
      <c r="A99" s="5" t="inlineStr">
        <is>
          <t>-</t>
        </is>
      </c>
      <c r="B99" s="4" t="inlineStr">
        <is>
          <t>받은 리스 인센티브를 차감한 리스개시일이나 그 전에 지급한 리스료</t>
        </is>
      </c>
    </row>
    <row r="100">
      <c r="A100" s="5" t="inlineStr">
        <is>
          <t>-</t>
        </is>
      </c>
      <c r="B100" s="4" t="inlineStr">
        <is>
          <t>리스이용자가 부담하는 리스개설직접원가</t>
        </is>
      </c>
    </row>
    <row r="101">
      <c r="A101" s="5" t="inlineStr">
        <is>
          <t>-</t>
        </is>
      </c>
      <c r="B101" s="4" t="inlineStr">
        <is>
          <t>복구원가의 추정치</t>
        </is>
      </c>
    </row>
    <row r="103">
      <c r="A103" s="2" t="inlineStr">
        <is>
          <t>사용권자산은 리스개시일부터 사용권자산의 내용연수 종료일과 리스기간 종료일 중 이른 날까지의 기간동안 감가상각합니다. 당사가 매수선택권을 행사할 것이 상당히 확실한(reasonably certain) 경우 사용권자산은 기초자산의 내용연수에 걸쳐 감가상각합니다.</t>
        </is>
      </c>
    </row>
    <row r="104">
      <c r="A104" s="2" t="inlineStr">
        <is>
          <t>단기리스와 모든 소액자산 리스와 관련된 리스료는 정액 기준에 따라 당기손익으로 인식합니다. 단기리스는 리스기간이 12개월 이하인 리스이며, 소액리스자산은 소액의 사무용기기 등으로 구성되어 있습니다.</t>
        </is>
      </c>
    </row>
    <row r="105">
      <c r="A105" s="2" t="inlineStr">
        <is>
          <t>(3) 연장선택권 및 종료선택권일부 리스계약에 연장선택권 및 종료선택권을 포함하고 있습니다. 이러한 조건들은 계약 관리 측면에서 운영상의 유연성을 극대화하기 위해 사용됩니다. 보유하고 있는 연장선택권 및 종료선택권은 해당 리스제공자가 아니라 당사가 행사할 수 있습니다.</t>
        </is>
      </c>
    </row>
    <row r="106">
      <c r="A106" s="2" t="inlineStr">
        <is>
          <t>(4) 잔존가치보증계약기간 동안 리스원가를 최적화하기 위해 당사는 리스와 관련하여 종종 잔존가치보증을 제공합니다.</t>
        </is>
      </c>
    </row>
    <row r="107">
      <c r="A107" s="2" t="inlineStr">
        <is>
          <t>2.19 영업부문 영업부문별 정보는 최고영업의사결정자에게 내부적으로 보고되는 방식에 기초하여 공시됩니다(주석 7 참조). 최고영업의사결정자는 영업부문에 배부될 자원과 영업부문의 성과를 평가하는데 책임이 있습니다.</t>
        </is>
      </c>
    </row>
    <row r="108">
      <c r="A108" s="2" t="inlineStr">
        <is>
          <t>2.20 재무제표 승인당사의 재무제표는 2026년 2월 20일 이사회에서 승인되었으며, 향후 정기주주총회에서 수정 승인될 수 있습니다.</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3. 중요한 회계추정 및 가정</t>
        </is>
      </c>
      <c r="J1" s="15">
        <f>HYPERLINK("#총괄표!A1","◀ 총괄표")</f>
        <v/>
      </c>
    </row>
    <row r="3">
      <c r="A3" s="2" t="inlineStr">
        <is>
          <t>재무제표 작성에는 미래에 대한 가정 및 추정이 요구되며 경영진은 당사의 회계정책을 적용하기 위해 판단이 요구됩니다. 추정 및 가정은 지속적으로 평가되며, 과거 경험과 현재의 상황에 비추어 합리적으로 예측가능한 미래의 사건을 고려하여 이루어집니다. 회계추정의 결과가 실제 결과와 동일한 경우는 드물 것이므로 중요한 조정을유발할 수 있는 유의적인 위험을 내포하고 있습니다.</t>
        </is>
      </c>
    </row>
    <row r="4">
      <c r="A4" s="2" t="inlineStr">
        <is>
          <t>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t>
        </is>
      </c>
    </row>
    <row r="5">
      <c r="A5" s="2" t="inlineStr">
        <is>
          <t>(1) 법인세당사의 과세소득에 대한 법인세는 세법 및 과세당국의 결정을 적용하여 산정되므로 최종 세효과를 산정하는 데에는 불확실성이 존재합니다(주석 19 참조).</t>
        </is>
      </c>
    </row>
    <row r="6">
      <c r="A6" s="2" t="inlineStr">
        <is>
          <t>당사는 이연법인세 측정 시 미래 예상 과세소득에 적용되는 예상평균세율을 추정하고 있으며, 이연법인세의 실현가능성 판단 시에는 예상되는 차감할 일시적차이, 예상과세소득, 이월세액공제의 사용가능성 등을 추정하고 있습니다.</t>
        </is>
      </c>
    </row>
    <row r="7">
      <c r="A7" s="2" t="inlineStr">
        <is>
          <t>(2) 금융상품의 공정가치</t>
        </is>
      </c>
    </row>
    <row r="8">
      <c r="A8" s="2" t="inlineStr">
        <is>
          <t>활성시장에서 거래되지 않는 금융상품의 공정가치는 원칙적으로 평가기법을 사용하여 결정됩니다. 당사는 보고기간말 현재 중요한 시장상황에 기초하여 다양한 평가기법의 선택 및 가정에 대한 판단을 하고 있습니다(주석 5 참조).</t>
        </is>
      </c>
    </row>
    <row r="9">
      <c r="A9" s="2" t="inlineStr">
        <is>
          <t>(3) 금융자산의 손상</t>
        </is>
      </c>
    </row>
    <row r="10">
      <c r="A10" s="2" t="inlineStr">
        <is>
          <t>금융자산의 손실충당금은 부도위험 및 기대손실률 등에 대한 가정에 기초하여 측정됩니다. 당사는 이러한 가정의 설정 및 손상모델에 사용되는 투입변수의 선정에 있어서 당사의 과거 경험, 현재 시장 상황, 재무보고일 기준의 미래전망정보 등을 고려하여 판단합니다(주석 4.1.2 참조).</t>
        </is>
      </c>
    </row>
    <row r="11">
      <c r="A11" s="2" t="inlineStr">
        <is>
          <t>(4) 순확정급여부채(자산)</t>
        </is>
      </c>
    </row>
    <row r="12">
      <c r="A12" s="2" t="inlineStr">
        <is>
          <t>순확정급여부채(자산)의</t>
        </is>
      </c>
    </row>
    <row r="13">
      <c r="A13" s="2" t="inlineStr">
        <is>
          <t>현재가치는</t>
        </is>
      </c>
    </row>
    <row r="14">
      <c r="A14" s="2" t="inlineStr">
        <is>
          <t>보험수리적방식에</t>
        </is>
      </c>
    </row>
    <row r="15">
      <c r="A15" s="2" t="inlineStr">
        <is>
          <t>의해 결정되는</t>
        </is>
      </c>
    </row>
    <row r="16">
      <c r="A16" s="2" t="inlineStr">
        <is>
          <t>다양한</t>
        </is>
      </c>
    </row>
    <row r="17">
      <c r="A17" s="2" t="inlineStr">
        <is>
          <t>요소들,특히 할인율의 변동에 영향을 받습니다(주석 18 참조).</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9"/>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4. 재무위험관리</t>
        </is>
      </c>
      <c r="J1" s="15">
        <f>HYPERLINK("#총괄표!A1","◀ 총괄표")</f>
        <v/>
      </c>
    </row>
    <row r="3">
      <c r="A3" s="2" t="inlineStr">
        <is>
          <t>4.1 재무위험관리요소 당사는 여러 활동으로 인하여 시장위험(외환위험, 이자율위험, 가격위험), 신용위험 및 유동성위험과 같은 다양한 재무위험에 노출돼 있습니다. 당사의 전반적인 위험관리정책은 금융시장의 변동성에 초점을 맞추고 있으며 재무성과에 미치는 부정적 영향을 최소화하는데 중점을 두고 있습니다.재무위험관리의 대상이 되는 당사의 금융자산은 현금및현금성자산, 당기손익-공정가치 측정 금융자산, 기타포괄손익-공정가치 측정 금융자산, 매출채권 및 기타채권 등으로 구성되어 있으며 금융부채는 매입채무, 미지급금, 미지급비용 등으로 구성되어 있습니다.</t>
        </is>
      </c>
    </row>
    <row r="4">
      <c r="A4" s="2" t="inlineStr">
        <is>
          <t>4.1.1 시장위험</t>
        </is>
      </c>
    </row>
    <row r="5">
      <c r="A5" s="2" t="inlineStr">
        <is>
          <t>(1) 외환위험당사는 기능통화인 원화 이외의 통화로 표시되는 거래로 인하여 환율변동위험에 노출되어 있습니다. 보고기간말 현재 외환 위험에 노출되어 있는 당사의 금융자산ㆍ부채의 내역의 원화환산 기준액은 다음과 같습니다.</t>
        </is>
      </c>
    </row>
    <row r="6">
      <c r="B6" s="2" t="inlineStr">
        <is>
          <t>(단위: 천원)</t>
        </is>
      </c>
    </row>
    <row r="7">
      <c r="A7" s="3" t="inlineStr">
        <is>
          <t>구 분</t>
        </is>
      </c>
      <c r="B7" s="3" t="inlineStr">
        <is>
          <t>당기말</t>
        </is>
      </c>
      <c r="C7" s="3" t="inlineStr">
        <is>
          <t>전기말</t>
        </is>
      </c>
    </row>
    <row r="8">
      <c r="A8" s="5" t="inlineStr">
        <is>
          <t>외화자산</t>
        </is>
      </c>
      <c r="B8" s="4" t="inlineStr">
        <is>
          <t>외화자산</t>
        </is>
      </c>
      <c r="C8" s="4" t="inlineStr">
        <is>
          <t>외화자산</t>
        </is>
      </c>
    </row>
    <row r="9">
      <c r="A9" s="5" t="inlineStr">
        <is>
          <t>현금및현금성자산</t>
        </is>
      </c>
      <c r="B9" s="7" t="n">
        <v>1657729</v>
      </c>
      <c r="C9" s="7" t="n">
        <v>65114</v>
      </c>
    </row>
    <row r="10">
      <c r="A10" s="5" t="inlineStr">
        <is>
          <t>당기손익-공정가치 측정 금융자산</t>
        </is>
      </c>
      <c r="B10" s="7" t="n">
        <v>966816</v>
      </c>
      <c r="C10" s="7" t="n">
        <v>0</v>
      </c>
    </row>
    <row r="11">
      <c r="A11" s="5" t="inlineStr">
        <is>
          <t>기타포괄손익-공정가치 측정 금융자산</t>
        </is>
      </c>
      <c r="B11" s="7" t="n">
        <v>453413</v>
      </c>
      <c r="C11" s="7" t="n">
        <v>0</v>
      </c>
    </row>
    <row r="12">
      <c r="A12" s="5" t="inlineStr">
        <is>
          <t>외화부채</t>
        </is>
      </c>
      <c r="B12" s="4" t="inlineStr">
        <is>
          <t>외화부채</t>
        </is>
      </c>
      <c r="C12" s="4" t="inlineStr">
        <is>
          <t>외화부채</t>
        </is>
      </c>
    </row>
    <row r="13">
      <c r="A13" s="5" t="inlineStr">
        <is>
          <t>매입채무</t>
        </is>
      </c>
      <c r="B13" s="7" t="n">
        <v>-2178932</v>
      </c>
      <c r="C13" s="7" t="n">
        <v>0</v>
      </c>
    </row>
    <row r="14">
      <c r="A14" s="5" t="inlineStr">
        <is>
          <t>기타지급채무</t>
        </is>
      </c>
      <c r="B14" s="7" t="n">
        <v>-259828</v>
      </c>
      <c r="C14" s="7" t="n">
        <v>-263204</v>
      </c>
    </row>
    <row r="15">
      <c r="A15" s="5" t="inlineStr">
        <is>
          <t>순외화자산(부채)</t>
        </is>
      </c>
      <c r="B15" s="7" t="n">
        <v>639198</v>
      </c>
      <c r="C15" s="7" t="n">
        <v>-198090</v>
      </c>
    </row>
    <row r="17">
      <c r="A17" s="2" t="inlineStr">
        <is>
          <t>당기말과 전기말 현재, 다른 모든 변수가 일정하고 원화가 미국달러화에 대해 10% 약세 또는 강세를 가정할 경우, 당기 세후이익은 14,491천원(전기: 15,629천원), 자본은 49,857천원(전기: 15,629천원)만큼 상승 또는 하락하였을 것입니다.</t>
        </is>
      </c>
    </row>
    <row r="18">
      <c r="A18" s="2" t="inlineStr">
        <is>
          <t>당기말과 전기말에 적용된 환율은 다음과 같습니다.</t>
        </is>
      </c>
    </row>
    <row r="19">
      <c r="B19" s="2" t="inlineStr">
        <is>
          <t>(단위: 원)</t>
        </is>
      </c>
    </row>
    <row r="20">
      <c r="A20" s="3" t="inlineStr">
        <is>
          <t>구 분</t>
        </is>
      </c>
      <c r="B20" s="3" t="inlineStr">
        <is>
          <t>평균환율</t>
        </is>
      </c>
      <c r="C20" s="3" t="inlineStr">
        <is>
          <t>평균환율</t>
        </is>
      </c>
      <c r="D20" s="3" t="inlineStr">
        <is>
          <t>기말환율</t>
        </is>
      </c>
      <c r="E20" s="3" t="inlineStr">
        <is>
          <t>기말환율</t>
        </is>
      </c>
    </row>
    <row r="21">
      <c r="A21" s="3" t="inlineStr">
        <is>
          <t>구 분</t>
        </is>
      </c>
      <c r="B21" s="3" t="inlineStr">
        <is>
          <t>당 기</t>
        </is>
      </c>
      <c r="C21" s="3" t="inlineStr">
        <is>
          <t>전 기</t>
        </is>
      </c>
      <c r="D21" s="3" t="inlineStr">
        <is>
          <t>당기말</t>
        </is>
      </c>
      <c r="E21" s="3" t="inlineStr">
        <is>
          <t>전기말</t>
        </is>
      </c>
    </row>
    <row r="22">
      <c r="A22" s="5" t="inlineStr">
        <is>
          <t>USD</t>
        </is>
      </c>
      <c r="B22" s="7" t="n">
        <v>1422.22</v>
      </c>
      <c r="C22" s="7" t="n">
        <v>1363.98</v>
      </c>
      <c r="D22" s="7" t="n">
        <v>1434.9</v>
      </c>
      <c r="E22" s="7" t="n">
        <v>1470</v>
      </c>
    </row>
    <row r="24">
      <c r="A24" s="2" t="inlineStr">
        <is>
          <t>상기 민감도 분석은 당기말과 전기말 현재 외화로 표시된 화폐성 자산 및 부채를 대상으로 하였습니다.</t>
        </is>
      </c>
    </row>
    <row r="25">
      <c r="A25" s="2" t="inlineStr">
        <is>
          <t>(2) 가격위험</t>
        </is>
      </c>
    </row>
    <row r="26">
      <c r="A26" s="2" t="inlineStr">
        <is>
          <t>당사는 재무상태표상 당기손익-공정가치 측정 금융자산과 기타포괄손익-공정가치 측정 금융자산으로 분류되는 당사 보유 지분증권의 가격위험에 노출되어 있습니다.당사가 보유하고 있는 상장주식은 공개시장에서 거래되고 있으며, KOSPI 주가지수 또는 NASDAQ 주가지수 중 하나에 속해 있습니다.</t>
        </is>
      </c>
    </row>
    <row r="27">
      <c r="A27" s="2" t="inlineStr">
        <is>
          <t>당사가 보유하고 있는 상장주식 가격의 상승 또는 하락이 당기 및 전기의 세후손익 및 세후자본에 미치는 영향은 아래 표와 같습니다. 이 분석은 다른 변수들은 일정하며 당사가 보유하고 있는 상장주식의 가격이 일정하게 10% 상승 또는 하락하는 경우를 가정하여 세후 효과로 분석한 것입니다.</t>
        </is>
      </c>
    </row>
    <row r="28">
      <c r="B28" s="2" t="inlineStr">
        <is>
          <t>(단위: 천원)</t>
        </is>
      </c>
    </row>
    <row r="29">
      <c r="A29" s="3" t="inlineStr">
        <is>
          <t>지 수</t>
        </is>
      </c>
      <c r="B29" s="3" t="inlineStr">
        <is>
          <t>지 수</t>
        </is>
      </c>
      <c r="C29" s="3" t="inlineStr">
        <is>
          <t>당 기</t>
        </is>
      </c>
      <c r="D29" s="3" t="inlineStr">
        <is>
          <t>당 기</t>
        </is>
      </c>
      <c r="E29" s="3" t="inlineStr">
        <is>
          <t>전 기</t>
        </is>
      </c>
      <c r="F29" s="3" t="inlineStr">
        <is>
          <t>전 기</t>
        </is>
      </c>
    </row>
    <row r="30">
      <c r="A30" s="3" t="inlineStr">
        <is>
          <t>지 수</t>
        </is>
      </c>
      <c r="B30" s="3" t="inlineStr">
        <is>
          <t>지 수</t>
        </is>
      </c>
      <c r="C30" s="3" t="inlineStr">
        <is>
          <t>손 익</t>
        </is>
      </c>
      <c r="D30" s="3" t="inlineStr">
        <is>
          <t>자 본</t>
        </is>
      </c>
      <c r="E30" s="3" t="inlineStr">
        <is>
          <t>손 익</t>
        </is>
      </c>
      <c r="F30" s="3" t="inlineStr">
        <is>
          <t>자 본</t>
        </is>
      </c>
    </row>
    <row r="31">
      <c r="A31" s="5" t="inlineStr">
        <is>
          <t>상장주식</t>
        </is>
      </c>
      <c r="B31" s="4" t="inlineStr">
        <is>
          <t>10% 상승시</t>
        </is>
      </c>
      <c r="C31" s="7" t="n">
        <v>107823</v>
      </c>
      <c r="D31" s="7" t="n">
        <v>255187</v>
      </c>
      <c r="E31" s="7" t="n">
        <v>0</v>
      </c>
      <c r="F31" s="7" t="n">
        <v>88405</v>
      </c>
    </row>
    <row r="32">
      <c r="A32" s="5" t="inlineStr">
        <is>
          <t>상장주식</t>
        </is>
      </c>
      <c r="B32" s="4" t="inlineStr">
        <is>
          <t>10% 하락시</t>
        </is>
      </c>
      <c r="C32" s="7" t="n">
        <v>-107823</v>
      </c>
      <c r="D32" s="7" t="n">
        <v>-255187</v>
      </c>
      <c r="E32" s="7" t="n">
        <v>0</v>
      </c>
      <c r="F32" s="7" t="n">
        <v>-88405</v>
      </c>
    </row>
    <row r="34">
      <c r="A34" s="2" t="inlineStr">
        <is>
          <t>한편, 보고기간종료일 현재 당사가 보유하고 있는 당기손익-공정가치 측정 금융자산은 조합출자금, 상장주식 및 해외채권으로서, 조합출자금은 발행기관이 공시한 환매가격을 기초로 공정가치를 측정하고 있으며 상장주식 및 해외채권은 보고기간종료일현재의 시장가격(또는 평가기관이 산정한 공정가치)을 기초로 공정가치를 측정하고 있습니다. 또한 동 당기손익-공정가치 측정 금융자산의 최대 가격위험 노출금액은 해당 자산의 장부금액입니다.(3) 이자율위험보고기간종료일 현재 당사는 차입금을 보유하고 있지 않으므로 이자율위험에 노출되어 있지 않습니다.</t>
        </is>
      </c>
    </row>
    <row r="35">
      <c r="A35" s="2" t="inlineStr">
        <is>
          <t>4.1.2 신용 위험신용위험은 기업 및 개인 고객에 대한 신용거래 및 채권 뿐 아니라 현금성자산, 채무상품의 계약 현금흐름, 예치금 등에서도 발생합니다. (1) 위험관리은행 및 금융기관의 경우, 신용등급이 우수한 금융기관과 거래하고 있으므로 금융기관으로부터의 신용위험은 제한적입니다. 당사의 신용위험은 개별 고객, 산업, 지역 등에 대한 유의적인 집중은 없습니다.</t>
        </is>
      </c>
    </row>
    <row r="36">
      <c r="A36" s="2" t="inlineStr">
        <is>
          <t>당사가 보유하는 채무상품은 모두 낮은 신용위험의 상품에 해당합니다. 이러한 채무상품들에 대해서는 신용등급을 모니터링하여 신용위험의 하락을 평가하고 있습니다.(2) 금융자산의 손상당사는 기대신용손실 모형이 적용되는 다음의 금융자산을 보유하고 있습니다.</t>
        </is>
      </c>
    </row>
    <row r="37">
      <c r="A37" s="2" t="inlineStr">
        <is>
          <t>ㆍ 재화 및 용역의 제공에 따른 매출채권ㆍ 용역 제공에 따른 계약자산</t>
        </is>
      </c>
    </row>
    <row r="38">
      <c r="A38" s="2" t="inlineStr">
        <is>
          <t>ㆍ 상각후원가로 측정하는 기타 금융자산</t>
        </is>
      </c>
    </row>
    <row r="39">
      <c r="A39" s="2" t="inlineStr">
        <is>
          <t>현금성자산도 손상 규정의 적용대상에 포함되나 식별된 기대신용손실은 유의적이지 않습니다.</t>
        </is>
      </c>
    </row>
    <row r="40">
      <c r="A40" s="2" t="inlineStr">
        <is>
          <t>당사는 매출채권 및 계약자산에 대해 전체 기간 기대신용손실을 손실충당금으로 인식하는 간편법을 적용합니다. 기대신용손실을 측정하기 위해 매출채권은 신용위험 특성과 연체일을 기준으로 구분하였습니다. 상각후원가로 측정하는 기타 금융자산에는 대여금, 보증금, 미수금 등이 포함됩니다.상각후원가로 측정하는 기타 금융자산은 전체기간 기대신용손실로 손실충당금을 인식한 1년 이상 초과 연체채권을 제외하고 모두 신용위험이 낮은 것으로 판단되며, 따라서 손실충당금은 12개월 기대신용손실로 인식하였습니다.</t>
        </is>
      </c>
    </row>
    <row r="41">
      <c r="A41" s="2" t="inlineStr">
        <is>
          <t>당기말과 전기말 현재 매출채권에 대한 기대신용손실 및 각 연령별로 손상된 금액은 다음과 같습니다.</t>
        </is>
      </c>
    </row>
    <row r="42">
      <c r="B42" s="2" t="inlineStr">
        <is>
          <t>(단위: 천원)</t>
        </is>
      </c>
    </row>
    <row r="43">
      <c r="A43" s="3" t="inlineStr">
        <is>
          <t>구 분</t>
        </is>
      </c>
      <c r="B43" s="3" t="inlineStr">
        <is>
          <t>당기말</t>
        </is>
      </c>
      <c r="C43" s="3" t="inlineStr">
        <is>
          <t>당기말</t>
        </is>
      </c>
      <c r="D43" s="3" t="inlineStr">
        <is>
          <t>당기말</t>
        </is>
      </c>
      <c r="E43" s="3" t="inlineStr">
        <is>
          <t>전기말</t>
        </is>
      </c>
      <c r="F43" s="3" t="inlineStr">
        <is>
          <t>전기말</t>
        </is>
      </c>
      <c r="G43" s="3" t="inlineStr">
        <is>
          <t>전기말</t>
        </is>
      </c>
    </row>
    <row r="44">
      <c r="A44" s="3" t="inlineStr">
        <is>
          <t>구 분</t>
        </is>
      </c>
      <c r="B44" s="3" t="inlineStr">
        <is>
          <t>기대손실율</t>
        </is>
      </c>
      <c r="C44" s="3" t="inlineStr">
        <is>
          <t>채권잔액</t>
        </is>
      </c>
      <c r="D44" s="3" t="inlineStr">
        <is>
          <t>손상된 금액</t>
        </is>
      </c>
      <c r="E44" s="3" t="inlineStr">
        <is>
          <t>기대손실율</t>
        </is>
      </c>
      <c r="F44" s="3" t="inlineStr">
        <is>
          <t>채권잔액</t>
        </is>
      </c>
      <c r="G44" s="3" t="inlineStr">
        <is>
          <t>손상된 금액</t>
        </is>
      </c>
    </row>
    <row r="45">
      <c r="A45" s="5" t="inlineStr">
        <is>
          <t>90일 이하(만기일 미도래)</t>
        </is>
      </c>
      <c r="B45" s="4" t="inlineStr">
        <is>
          <t>0.02%</t>
        </is>
      </c>
      <c r="C45" s="7" t="n">
        <v>6694429</v>
      </c>
      <c r="D45" s="7" t="n">
        <v>1630</v>
      </c>
      <c r="E45" s="4" t="inlineStr">
        <is>
          <t>0.08%</t>
        </is>
      </c>
      <c r="F45" s="7" t="n">
        <v>2772495</v>
      </c>
      <c r="G45" s="7" t="n">
        <v>2291</v>
      </c>
    </row>
    <row r="46">
      <c r="A46" s="5" t="inlineStr">
        <is>
          <t>91일~180일</t>
        </is>
      </c>
      <c r="B46" s="4" t="inlineStr">
        <is>
          <t>0.89%</t>
        </is>
      </c>
      <c r="C46" s="7" t="n">
        <v>1271</v>
      </c>
      <c r="D46" s="7" t="n">
        <v>11</v>
      </c>
      <c r="E46" s="4" t="inlineStr">
        <is>
          <t>3.95%</t>
        </is>
      </c>
      <c r="F46" s="7" t="n">
        <v>177</v>
      </c>
      <c r="G46" s="7" t="n">
        <v>7</v>
      </c>
    </row>
    <row r="47">
      <c r="A47" s="5" t="inlineStr">
        <is>
          <t>181일~270일</t>
        </is>
      </c>
      <c r="B47" s="4" t="inlineStr">
        <is>
          <t>4.94%</t>
        </is>
      </c>
      <c r="C47" s="7" t="n">
        <v>0</v>
      </c>
      <c r="D47" s="7" t="n">
        <v>0</v>
      </c>
      <c r="E47" s="4" t="inlineStr">
        <is>
          <t>10.74%</t>
        </is>
      </c>
      <c r="F47" s="7" t="n">
        <v>0</v>
      </c>
      <c r="G47" s="7" t="n">
        <v>0</v>
      </c>
    </row>
    <row r="48">
      <c r="A48" s="5" t="inlineStr">
        <is>
          <t>271일~365일</t>
        </is>
      </c>
      <c r="B48" s="4" t="inlineStr">
        <is>
          <t>22.22%(*)</t>
        </is>
      </c>
      <c r="C48" s="7" t="n">
        <v>10508</v>
      </c>
      <c r="D48" s="7" t="n">
        <v>10508</v>
      </c>
      <c r="E48" s="4" t="inlineStr">
        <is>
          <t>33.33%</t>
        </is>
      </c>
      <c r="F48" s="7" t="n">
        <v>0</v>
      </c>
      <c r="G48" s="7" t="n">
        <v>0</v>
      </c>
    </row>
    <row r="49">
      <c r="A49" s="5" t="inlineStr">
        <is>
          <t>1년 초과</t>
        </is>
      </c>
      <c r="B49" s="4" t="inlineStr">
        <is>
          <t>100.00%</t>
        </is>
      </c>
      <c r="C49" s="7" t="n">
        <v>341414</v>
      </c>
      <c r="D49" s="7" t="n">
        <v>341414</v>
      </c>
      <c r="E49" s="4" t="inlineStr">
        <is>
          <t>100.00%</t>
        </is>
      </c>
      <c r="F49" s="7" t="n">
        <v>341414</v>
      </c>
      <c r="G49" s="7" t="n">
        <v>341414</v>
      </c>
    </row>
    <row r="50">
      <c r="A50" s="8" t="inlineStr">
        <is>
          <t>합 계</t>
        </is>
      </c>
      <c r="B50" s="18" t="inlineStr"/>
      <c r="C50" s="9" t="n">
        <v>7047622</v>
      </c>
      <c r="D50" s="9" t="n">
        <v>353563</v>
      </c>
      <c r="E50" s="18" t="inlineStr"/>
      <c r="F50" s="9" t="n">
        <v>3114086</v>
      </c>
      <c r="G50" s="9" t="n">
        <v>343712</v>
      </c>
    </row>
    <row r="51">
      <c r="A51" s="2" t="inlineStr">
        <is>
          <t xml:space="preserve">  └ 푸팅검증: 합 계(행 50) − Σ(행)</t>
        </is>
      </c>
      <c r="C51" s="17">
        <f>IF(ABS(C50-(SUM(C45:C49)))&lt;1.5,TRUE,C50-(SUM(C45:C49)))</f>
        <v/>
      </c>
      <c r="D51" s="17">
        <f>IF(ABS(D50-(SUM(D45:D49)))&lt;1.5,TRUE,D50-(SUM(D45:D49)))</f>
        <v/>
      </c>
      <c r="F51" s="17">
        <f>IF(ABS(F50-(SUM(F45:F49)))&lt;1.5,TRUE,F50-(SUM(F45:F49)))</f>
        <v/>
      </c>
      <c r="G51" s="17">
        <f>IF(ABS(G50-(SUM(G45:G49)))&lt;1.5,TRUE,G50-(SUM(G45:G49)))</f>
        <v/>
      </c>
    </row>
    <row r="53">
      <c r="A53" s="2" t="inlineStr">
        <is>
          <t>(*) 당기말 특정 채권에 대해서 개별평가를 수행하여 100%손상을 인식하였습니다.당기말과 전기말 현재 기타채권의 각 연령별 손상된 금액은 다음과 같습니다.</t>
        </is>
      </c>
    </row>
    <row r="54">
      <c r="B54" s="2" t="inlineStr">
        <is>
          <t>(단위: 천원)</t>
        </is>
      </c>
    </row>
    <row r="55">
      <c r="A55" s="3" t="inlineStr">
        <is>
          <t>구 분</t>
        </is>
      </c>
      <c r="B55" s="3" t="inlineStr">
        <is>
          <t>당기말</t>
        </is>
      </c>
      <c r="C55" s="3" t="inlineStr">
        <is>
          <t>당기말</t>
        </is>
      </c>
      <c r="D55" s="3" t="inlineStr">
        <is>
          <t>전기말</t>
        </is>
      </c>
      <c r="E55" s="3" t="inlineStr">
        <is>
          <t>전기말</t>
        </is>
      </c>
    </row>
    <row r="56">
      <c r="A56" s="3" t="inlineStr">
        <is>
          <t>구 분</t>
        </is>
      </c>
      <c r="B56" s="3" t="inlineStr">
        <is>
          <t>채권잔액</t>
        </is>
      </c>
      <c r="C56" s="3" t="inlineStr">
        <is>
          <t>손상된 금액</t>
        </is>
      </c>
      <c r="D56" s="3" t="inlineStr">
        <is>
          <t>채권잔액</t>
        </is>
      </c>
      <c r="E56" s="3" t="inlineStr">
        <is>
          <t>손상된 금액</t>
        </is>
      </c>
    </row>
    <row r="57">
      <c r="A57" s="5" t="inlineStr">
        <is>
          <t>90일 이하(만기일 미도래)</t>
        </is>
      </c>
      <c r="B57" s="7" t="n">
        <v>1340733</v>
      </c>
      <c r="C57" s="7" t="n">
        <v>0</v>
      </c>
      <c r="D57" s="7" t="n">
        <v>1018289</v>
      </c>
      <c r="E57" s="7" t="n">
        <v>0</v>
      </c>
    </row>
    <row r="58">
      <c r="A58" s="5" t="inlineStr">
        <is>
          <t>1년 초과</t>
        </is>
      </c>
      <c r="B58" s="7" t="n">
        <v>199567</v>
      </c>
      <c r="C58" s="7" t="n">
        <v>199567</v>
      </c>
      <c r="D58" s="7" t="n">
        <v>199567</v>
      </c>
      <c r="E58" s="7" t="n">
        <v>199567</v>
      </c>
    </row>
    <row r="59">
      <c r="A59" s="8" t="inlineStr">
        <is>
          <t>합 계</t>
        </is>
      </c>
      <c r="B59" s="9" t="n">
        <v>1540300</v>
      </c>
      <c r="C59" s="9" t="n">
        <v>199567</v>
      </c>
      <c r="D59" s="9" t="n">
        <v>1217856</v>
      </c>
      <c r="E59" s="9" t="n">
        <v>199567</v>
      </c>
    </row>
    <row r="60">
      <c r="A60" s="2" t="inlineStr">
        <is>
          <t xml:space="preserve">  └ 푸팅검증: 합 계(행 59) − Σ(행)</t>
        </is>
      </c>
      <c r="B60" s="17">
        <f>IF(ABS(B59-(SUM(B57:B58)))&lt;1.5,TRUE,B59-(SUM(B57:B58)))</f>
        <v/>
      </c>
      <c r="C60" s="17">
        <f>IF(ABS(C59-(SUM(C57:C58)))&lt;1.5,TRUE,C59-(SUM(C57:C58)))</f>
        <v/>
      </c>
      <c r="D60" s="17">
        <f>IF(ABS(D59-(SUM(D57:D58)))&lt;1.5,TRUE,D59-(SUM(D57:D58)))</f>
        <v/>
      </c>
      <c r="E60" s="17">
        <f>IF(ABS(E59-(SUM(E57:E58)))&lt;1.5,TRUE,E59-(SUM(E57:E58)))</f>
        <v/>
      </c>
    </row>
    <row r="62">
      <c r="A62" s="2" t="inlineStr">
        <is>
          <t>매출채권 및 기타채권은 회수를 더 이상 합리적으로 예상할 수 없는 경우 제각됩니다.</t>
        </is>
      </c>
    </row>
    <row r="63">
      <c r="A63" s="2" t="inlineStr">
        <is>
          <t>당기와 전기 중 손실충당금 변동내역은 다음과 같습니다.</t>
        </is>
      </c>
    </row>
    <row r="64">
      <c r="B64" s="2" t="inlineStr">
        <is>
          <t>(단위: 천원)</t>
        </is>
      </c>
    </row>
    <row r="65">
      <c r="A65" s="3" t="inlineStr">
        <is>
          <t>구 분</t>
        </is>
      </c>
      <c r="B65" s="3" t="inlineStr">
        <is>
          <t>당 기</t>
        </is>
      </c>
      <c r="C65" s="3" t="inlineStr">
        <is>
          <t>당 기</t>
        </is>
      </c>
      <c r="D65" s="3" t="inlineStr">
        <is>
          <t>전 기</t>
        </is>
      </c>
      <c r="E65" s="3" t="inlineStr">
        <is>
          <t>전 기</t>
        </is>
      </c>
    </row>
    <row r="66">
      <c r="A66" s="3" t="inlineStr">
        <is>
          <t>구 분</t>
        </is>
      </c>
      <c r="B66" s="3" t="inlineStr">
        <is>
          <t>매출채권</t>
        </is>
      </c>
      <c r="C66" s="3" t="inlineStr">
        <is>
          <t>기타채권</t>
        </is>
      </c>
      <c r="D66" s="3" t="inlineStr">
        <is>
          <t>매출채권</t>
        </is>
      </c>
      <c r="E66" s="3" t="inlineStr">
        <is>
          <t>기타채권</t>
        </is>
      </c>
    </row>
    <row r="67">
      <c r="A67" s="5" t="inlineStr">
        <is>
          <t>기초금액</t>
        </is>
      </c>
      <c r="B67" s="7" t="n">
        <v>343712</v>
      </c>
      <c r="C67" s="7" t="n">
        <v>199567</v>
      </c>
      <c r="D67" s="7" t="n">
        <v>185163</v>
      </c>
      <c r="E67" s="7" t="n">
        <v>199567</v>
      </c>
    </row>
    <row r="68">
      <c r="A68" s="5" t="inlineStr">
        <is>
          <t>대손상각비</t>
        </is>
      </c>
      <c r="B68" s="7" t="n">
        <v>9851</v>
      </c>
      <c r="C68" s="7" t="n">
        <v>0</v>
      </c>
      <c r="D68" s="7" t="n">
        <v>158549</v>
      </c>
      <c r="E68" s="7" t="n">
        <v>0</v>
      </c>
    </row>
    <row r="69">
      <c r="A69" s="8" t="inlineStr">
        <is>
          <t>기말금액</t>
        </is>
      </c>
      <c r="B69" s="9" t="n">
        <v>353563</v>
      </c>
      <c r="C69" s="9" t="n">
        <v>199567</v>
      </c>
      <c r="D69" s="9" t="n">
        <v>343712</v>
      </c>
      <c r="E69" s="9" t="n">
        <v>199567</v>
      </c>
    </row>
    <row r="70">
      <c r="A70" s="2" t="inlineStr">
        <is>
          <t xml:space="preserve">  └ 푸팅검증: 기말금액(행 69) − Σ(행)</t>
        </is>
      </c>
      <c r="B70" s="17">
        <f>IF(ABS(B69-(SUM(B67:B68)))&lt;1.5,TRUE,B69-(SUM(B67:B68)))</f>
        <v/>
      </c>
      <c r="C70" s="17">
        <f>IF(ABS(C69-(SUM(C67:C68)))&lt;1.5,TRUE,C69-(SUM(C67:C68)))</f>
        <v/>
      </c>
      <c r="D70" s="17">
        <f>IF(ABS(D69-(SUM(D67:D68)))&lt;1.5,TRUE,D69-(SUM(D67:D68)))</f>
        <v/>
      </c>
      <c r="E70" s="17">
        <f>IF(ABS(E69-(SUM(E67:E68)))&lt;1.5,TRUE,E69-(SUM(E67:E68)))</f>
        <v/>
      </c>
    </row>
    <row r="72">
      <c r="A72" s="2" t="inlineStr">
        <is>
          <t>4.1.3 유동성 위험</t>
        </is>
      </c>
    </row>
    <row r="73">
      <c r="A73" s="2" t="inlineStr">
        <is>
          <t>당사는 미사용 차입금 한도(주석 33 참조)를 적정 수준으로 유지하고, 영업 자금 수요를 충족시키기 위해 차입금 한도나 약정을 위반하는 일이 없도록 유동성에 대한 예측을 항시 모니터링하고 있습니다.</t>
        </is>
      </c>
    </row>
    <row r="74">
      <c r="A74" s="2" t="inlineStr">
        <is>
          <t>유동성 위험 분석에 포함된 금액은 계약상의 할인되지 않은 현금흐름입니다. 금융부채의 12개월 이내 만기가 도래하는 금액은 현재가치 할인의 효과가 중요하지 않으므로 장부금액과 동일합니다. 당기말과 전기말 현재 당사가 보유한 금융부채의 계약상 만기는 다음과 같습니다.</t>
        </is>
      </c>
    </row>
    <row r="75">
      <c r="A75" s="2" t="inlineStr">
        <is>
          <t>&lt;당기말&gt;</t>
        </is>
      </c>
    </row>
    <row r="76">
      <c r="B76" s="2" t="inlineStr">
        <is>
          <t>(단위: 천원)</t>
        </is>
      </c>
    </row>
    <row r="77">
      <c r="A77" s="3" t="inlineStr">
        <is>
          <t>구 분</t>
        </is>
      </c>
      <c r="B77" s="3" t="inlineStr">
        <is>
          <t>장부금액</t>
        </is>
      </c>
      <c r="C77" s="3" t="inlineStr">
        <is>
          <t>계약상현금흐름</t>
        </is>
      </c>
      <c r="D77" s="3" t="inlineStr">
        <is>
          <t>6개월 이내</t>
        </is>
      </c>
      <c r="E77" s="3" t="inlineStr">
        <is>
          <t>6개월~1년</t>
        </is>
      </c>
      <c r="F77" s="3" t="inlineStr">
        <is>
          <t>1년 초과</t>
        </is>
      </c>
    </row>
    <row r="78">
      <c r="A78" s="5" t="inlineStr">
        <is>
          <t>매입채무</t>
        </is>
      </c>
      <c r="B78" s="7" t="n">
        <v>4092019</v>
      </c>
      <c r="C78" s="7" t="n">
        <v>4092019</v>
      </c>
      <c r="D78" s="7" t="n">
        <v>4092019</v>
      </c>
      <c r="E78" s="7" t="n">
        <v>0</v>
      </c>
      <c r="F78" s="7" t="n">
        <v>0</v>
      </c>
    </row>
    <row r="79">
      <c r="A79" s="5" t="inlineStr">
        <is>
          <t>미지급금</t>
        </is>
      </c>
      <c r="B79" s="7" t="n">
        <v>1570167</v>
      </c>
      <c r="C79" s="7" t="n">
        <v>1570167</v>
      </c>
      <c r="D79" s="7" t="n">
        <v>1570167</v>
      </c>
      <c r="E79" s="7" t="n">
        <v>0</v>
      </c>
      <c r="F79" s="7" t="n">
        <v>0</v>
      </c>
    </row>
    <row r="80">
      <c r="A80" s="5" t="inlineStr">
        <is>
          <t>미지급비용(*)</t>
        </is>
      </c>
      <c r="B80" s="7" t="n">
        <v>77266</v>
      </c>
      <c r="C80" s="7" t="n">
        <v>77266</v>
      </c>
      <c r="D80" s="7" t="n">
        <v>77266</v>
      </c>
      <c r="E80" s="7" t="n">
        <v>0</v>
      </c>
      <c r="F80" s="7" t="n">
        <v>0</v>
      </c>
    </row>
    <row r="81">
      <c r="A81" s="5" t="inlineStr">
        <is>
          <t>리스부채</t>
        </is>
      </c>
      <c r="B81" s="7" t="n">
        <v>119286</v>
      </c>
      <c r="C81" s="7" t="n">
        <v>120968</v>
      </c>
      <c r="D81" s="7" t="n">
        <v>92616</v>
      </c>
      <c r="E81" s="7" t="n">
        <v>28352</v>
      </c>
      <c r="F81" s="7" t="n">
        <v>0</v>
      </c>
    </row>
    <row r="82">
      <c r="A82" s="8" t="inlineStr">
        <is>
          <t>합 계</t>
        </is>
      </c>
      <c r="B82" s="9" t="n">
        <v>5858738</v>
      </c>
      <c r="C82" s="9" t="n">
        <v>5860420</v>
      </c>
      <c r="D82" s="9" t="n">
        <v>5832068</v>
      </c>
      <c r="E82" s="9" t="n">
        <v>28352</v>
      </c>
      <c r="F82" s="9" t="n">
        <v>0</v>
      </c>
    </row>
    <row r="83">
      <c r="A83" s="2" t="inlineStr">
        <is>
          <t xml:space="preserve">  └ 푸팅검증: 합 계(행 82) − Σ(행)</t>
        </is>
      </c>
      <c r="B83" s="17">
        <f>IF(ABS(B82-(SUM(B78:B81)))&lt;1.5,TRUE,B82-(SUM(B78:B81)))</f>
        <v/>
      </c>
      <c r="C83" s="17">
        <f>IF(ABS(C82-(SUM(C78:C81)))&lt;1.5,TRUE,C82-(SUM(C78:C81)))</f>
        <v/>
      </c>
      <c r="D83" s="17">
        <f>IF(ABS(D82-(SUM(D78:D81)))&lt;1.5,TRUE,D82-(SUM(D78:D81)))</f>
        <v/>
      </c>
      <c r="E83" s="17">
        <f>IF(ABS(E82-(SUM(E78:E81)))&lt;1.5,TRUE,E82-(SUM(E78:E81)))</f>
        <v/>
      </c>
    </row>
    <row r="85">
      <c r="A85" s="2" t="inlineStr">
        <is>
          <t>&lt;전기말&gt;</t>
        </is>
      </c>
    </row>
    <row r="86">
      <c r="B86" s="2" t="inlineStr">
        <is>
          <t>(단위: 천원)</t>
        </is>
      </c>
    </row>
    <row r="87">
      <c r="A87" s="3" t="inlineStr">
        <is>
          <t>구 분</t>
        </is>
      </c>
      <c r="B87" s="3" t="inlineStr">
        <is>
          <t>장부금액</t>
        </is>
      </c>
      <c r="C87" s="3" t="inlineStr">
        <is>
          <t>계약상현금흐름</t>
        </is>
      </c>
      <c r="D87" s="3" t="inlineStr">
        <is>
          <t>6개월 이내</t>
        </is>
      </c>
      <c r="E87" s="3" t="inlineStr">
        <is>
          <t>6개월~1년</t>
        </is>
      </c>
      <c r="F87" s="3" t="inlineStr">
        <is>
          <t>1년 초과</t>
        </is>
      </c>
    </row>
    <row r="88">
      <c r="A88" s="5" t="inlineStr">
        <is>
          <t>매입채무</t>
        </is>
      </c>
      <c r="B88" s="7" t="n">
        <v>1080657</v>
      </c>
      <c r="C88" s="7" t="n">
        <v>1080657</v>
      </c>
      <c r="D88" s="7" t="n">
        <v>1080657</v>
      </c>
      <c r="E88" s="7" t="n">
        <v>0</v>
      </c>
      <c r="F88" s="7" t="n">
        <v>0</v>
      </c>
    </row>
    <row r="89">
      <c r="A89" s="5" t="inlineStr">
        <is>
          <t>미지급금</t>
        </is>
      </c>
      <c r="B89" s="7" t="n">
        <v>2333086</v>
      </c>
      <c r="C89" s="7" t="n">
        <v>2333086</v>
      </c>
      <c r="D89" s="7" t="n">
        <v>2333086</v>
      </c>
      <c r="E89" s="7" t="n">
        <v>0</v>
      </c>
      <c r="F89" s="7" t="n">
        <v>0</v>
      </c>
    </row>
    <row r="90">
      <c r="A90" s="5" t="inlineStr">
        <is>
          <t>미지급비용(*)</t>
        </is>
      </c>
      <c r="B90" s="7" t="n">
        <v>52179</v>
      </c>
      <c r="C90" s="7" t="n">
        <v>52179</v>
      </c>
      <c r="D90" s="7" t="n">
        <v>52179</v>
      </c>
      <c r="E90" s="7" t="n">
        <v>0</v>
      </c>
      <c r="F90" s="7" t="n">
        <v>0</v>
      </c>
    </row>
    <row r="91">
      <c r="A91" s="5" t="inlineStr">
        <is>
          <t>리스부채</t>
        </is>
      </c>
      <c r="B91" s="7" t="n">
        <v>296287</v>
      </c>
      <c r="C91" s="7" t="n">
        <v>306202</v>
      </c>
      <c r="D91" s="7" t="n">
        <v>92616</v>
      </c>
      <c r="E91" s="7" t="n">
        <v>92617</v>
      </c>
      <c r="F91" s="7" t="n">
        <v>120969</v>
      </c>
    </row>
    <row r="92">
      <c r="A92" s="8" t="inlineStr">
        <is>
          <t>합 계</t>
        </is>
      </c>
      <c r="B92" s="9" t="n">
        <v>3762209</v>
      </c>
      <c r="C92" s="9" t="n">
        <v>3772124</v>
      </c>
      <c r="D92" s="9" t="n">
        <v>3558538</v>
      </c>
      <c r="E92" s="9" t="n">
        <v>92617</v>
      </c>
      <c r="F92" s="9" t="n">
        <v>120969</v>
      </c>
    </row>
    <row r="93">
      <c r="A93" s="2" t="inlineStr">
        <is>
          <t xml:space="preserve">  └ 푸팅검증: 합 계(행 92) − Σ(행)</t>
        </is>
      </c>
      <c r="B93" s="17">
        <f>IF(ABS(B92-(SUM(B88:B91)))&lt;1.5,TRUE,B92-(SUM(B88:B91)))</f>
        <v/>
      </c>
      <c r="C93" s="17">
        <f>IF(ABS(C92-(SUM(C88:C91)))&lt;1.5,TRUE,C92-(SUM(C88:C91)))</f>
        <v/>
      </c>
      <c r="D93" s="17">
        <f>IF(ABS(D92-(SUM(D88:D91)))&lt;1.5,TRUE,D92-(SUM(D88:D91)))</f>
        <v/>
      </c>
      <c r="E93" s="17">
        <f>IF(ABS(E92-(SUM(E88:E91)))&lt;1.5,TRUE,E92-(SUM(E88:E91)))</f>
        <v/>
      </c>
      <c r="F93" s="17">
        <f>IF(ABS(F92-(SUM(F88:F91)))&lt;1.5,TRUE,F92-(SUM(F88:F91)))</f>
        <v/>
      </c>
    </row>
    <row r="95">
      <c r="A95" s="2" t="inlineStr">
        <is>
          <t>(*) 종업원급여제도에 따른 당사의 의무에 대응하는 종업원급여부채 262,318천원(전기말: 270,527천원)은 금융상품 공시 대상이 아니므로 제외되었습니다.당사는 상기의 현금흐름이 유의적으로 더 이른 기간에 발생하거나, 유의적으로 다른 금액일 것으로 기대하지 않으며 금액은 이자지급액을 포함하고 있습니다.</t>
        </is>
      </c>
    </row>
    <row r="96">
      <c r="A96" s="2" t="inlineStr">
        <is>
          <t>4.2 자본위험 관리</t>
        </is>
      </c>
    </row>
    <row r="97">
      <c r="A97" s="2" t="inlineStr">
        <is>
          <t>당사의 자본 관리 목적은 계속기업으로서 주주 및 이해당사자들에게 이익을 지속적으로 제공할 수 있는 능력을 보호하고 자본 비용을 절감하기 위해 최적의 자본 구조를 유지하는 것입니다.</t>
        </is>
      </c>
    </row>
    <row r="98">
      <c r="A98" s="2" t="inlineStr">
        <is>
          <t>당사는 부채비율에 기초하여 자본을 관리하고 있습니다. 부채비율은 부채를 자본으로 나누어 산출하고 있습니다.</t>
        </is>
      </c>
    </row>
    <row r="99">
      <c r="A99" s="2" t="inlineStr">
        <is>
          <t>당기말과 전기말의 부채비율은 다음과 같습니다.</t>
        </is>
      </c>
    </row>
    <row r="100">
      <c r="B100" s="2" t="inlineStr">
        <is>
          <t>(단위: 천원)</t>
        </is>
      </c>
    </row>
    <row r="101">
      <c r="A101" s="3" t="inlineStr">
        <is>
          <t>구 분</t>
        </is>
      </c>
      <c r="B101" s="3" t="inlineStr">
        <is>
          <t>당기말</t>
        </is>
      </c>
      <c r="C101" s="3" t="inlineStr">
        <is>
          <t>전기말</t>
        </is>
      </c>
    </row>
    <row r="102">
      <c r="A102" s="5" t="inlineStr">
        <is>
          <t>부채(A)</t>
        </is>
      </c>
      <c r="B102" s="7" t="n">
        <v>8031678</v>
      </c>
      <c r="C102" s="7" t="n">
        <v>4996789</v>
      </c>
    </row>
    <row r="103">
      <c r="A103" s="5" t="inlineStr">
        <is>
          <t>자본(B)</t>
        </is>
      </c>
      <c r="B103" s="7" t="n">
        <v>19680714</v>
      </c>
      <c r="C103" s="7" t="n">
        <v>18878321</v>
      </c>
    </row>
    <row r="104">
      <c r="A104" s="5" t="inlineStr">
        <is>
          <t>부채비율(A/B)</t>
        </is>
      </c>
      <c r="B104" s="4" t="inlineStr">
        <is>
          <t>40.8%</t>
        </is>
      </c>
      <c r="C104" s="4" t="inlineStr">
        <is>
          <t>26.5%</t>
        </is>
      </c>
    </row>
    <row r="107">
      <c r="A107" s="10" t="inlineStr">
        <is>
          <t>■ 크로스 참조</t>
        </is>
      </c>
    </row>
    <row r="108">
      <c r="A108" s="2" t="inlineStr">
        <is>
          <t>주4 부채비율 표 부채(A) = BS 부채총계</t>
        </is>
      </c>
      <c r="B108" s="17">
        <f>IF(ABS(B102*1000-'BS'!B35)&lt;5000,TRUE,B102*1000-'BS'!B35)</f>
        <v/>
      </c>
      <c r="C108" s="2" t="inlineStr">
        <is>
          <t>→ BS!B35</t>
        </is>
      </c>
    </row>
    <row r="109">
      <c r="A109" s="2" t="inlineStr">
        <is>
          <t>주4 부채비율 표 자본(B) = BS 자본총계</t>
        </is>
      </c>
      <c r="B109" s="17">
        <f>IF(ABS(B103*1000-'BS'!B42)&lt;5000,TRUE,B103*1000-'BS'!B42)</f>
        <v/>
      </c>
      <c r="C109" s="2" t="inlineStr">
        <is>
          <t>→ BS!B42</t>
        </is>
      </c>
    </row>
  </sheetData>
  <conditionalFormatting sqref="B60">
    <cfRule type="expression" priority="1" dxfId="0">
      <formula>ISNUMBER(B60)</formula>
    </cfRule>
  </conditionalFormatting>
  <conditionalFormatting sqref="B70">
    <cfRule type="expression" priority="2" dxfId="0">
      <formula>ISNUMBER(B70)</formula>
    </cfRule>
  </conditionalFormatting>
  <conditionalFormatting sqref="B83">
    <cfRule type="expression" priority="3" dxfId="0">
      <formula>ISNUMBER(B83)</formula>
    </cfRule>
  </conditionalFormatting>
  <conditionalFormatting sqref="B93">
    <cfRule type="expression" priority="4" dxfId="0">
      <formula>ISNUMBER(B93)</formula>
    </cfRule>
  </conditionalFormatting>
  <conditionalFormatting sqref="C51">
    <cfRule type="expression" priority="5" dxfId="0">
      <formula>ISNUMBER(C51)</formula>
    </cfRule>
  </conditionalFormatting>
  <conditionalFormatting sqref="C60">
    <cfRule type="expression" priority="6" dxfId="0">
      <formula>ISNUMBER(C60)</formula>
    </cfRule>
  </conditionalFormatting>
  <conditionalFormatting sqref="C70">
    <cfRule type="expression" priority="7" dxfId="0">
      <formula>ISNUMBER(C70)</formula>
    </cfRule>
  </conditionalFormatting>
  <conditionalFormatting sqref="C83">
    <cfRule type="expression" priority="8" dxfId="0">
      <formula>ISNUMBER(C83)</formula>
    </cfRule>
  </conditionalFormatting>
  <conditionalFormatting sqref="C93">
    <cfRule type="expression" priority="9" dxfId="0">
      <formula>ISNUMBER(C93)</formula>
    </cfRule>
  </conditionalFormatting>
  <conditionalFormatting sqref="D51">
    <cfRule type="expression" priority="10" dxfId="0">
      <formula>ISNUMBER(D51)</formula>
    </cfRule>
  </conditionalFormatting>
  <conditionalFormatting sqref="D60">
    <cfRule type="expression" priority="11" dxfId="0">
      <formula>ISNUMBER(D60)</formula>
    </cfRule>
  </conditionalFormatting>
  <conditionalFormatting sqref="D70">
    <cfRule type="expression" priority="12" dxfId="0">
      <formula>ISNUMBER(D70)</formula>
    </cfRule>
  </conditionalFormatting>
  <conditionalFormatting sqref="D83">
    <cfRule type="expression" priority="13" dxfId="0">
      <formula>ISNUMBER(D83)</formula>
    </cfRule>
  </conditionalFormatting>
  <conditionalFormatting sqref="D93">
    <cfRule type="expression" priority="14" dxfId="0">
      <formula>ISNUMBER(D93)</formula>
    </cfRule>
  </conditionalFormatting>
  <conditionalFormatting sqref="E60">
    <cfRule type="expression" priority="15" dxfId="0">
      <formula>ISNUMBER(E60)</formula>
    </cfRule>
  </conditionalFormatting>
  <conditionalFormatting sqref="E70">
    <cfRule type="expression" priority="16" dxfId="0">
      <formula>ISNUMBER(E70)</formula>
    </cfRule>
  </conditionalFormatting>
  <conditionalFormatting sqref="E83">
    <cfRule type="expression" priority="17" dxfId="0">
      <formula>ISNUMBER(E83)</formula>
    </cfRule>
  </conditionalFormatting>
  <conditionalFormatting sqref="E93">
    <cfRule type="expression" priority="18" dxfId="0">
      <formula>ISNUMBER(E93)</formula>
    </cfRule>
  </conditionalFormatting>
  <conditionalFormatting sqref="F51">
    <cfRule type="expression" priority="19" dxfId="0">
      <formula>ISNUMBER(F51)</formula>
    </cfRule>
  </conditionalFormatting>
  <conditionalFormatting sqref="F93">
    <cfRule type="expression" priority="20" dxfId="0">
      <formula>ISNUMBER(F93)</formula>
    </cfRule>
  </conditionalFormatting>
  <conditionalFormatting sqref="G51">
    <cfRule type="expression" priority="21" dxfId="0">
      <formula>ISNUMBER(G51)</formula>
    </cfRule>
  </conditionalFormatting>
  <conditionalFormatting sqref="B108:B109">
    <cfRule type="expression" priority="22" dxfId="0">
      <formula>ISNUMBER(B108)</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0"/>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5. 금융상품 공정가치</t>
        </is>
      </c>
      <c r="J1" s="15">
        <f>HYPERLINK("#총괄표!A1","◀ 총괄표")</f>
        <v/>
      </c>
    </row>
    <row r="3">
      <c r="A3" s="2" t="inlineStr">
        <is>
          <t>5.1 금융상품 종류별 공정가치당기 중 당사의 금융자산과 금융부채의 공정가치에 영향을 미치는 사업환경 및 경제적인 환경의 유의적인 변동은 없습니다. 따라서 상각후원가로 측정하는 당사의 금융자산과 금융부채의 장부금액은 공정가치의 합리적 근사치이므로 공정가치를 공시하지 않았습니다.</t>
        </is>
      </c>
    </row>
    <row r="4">
      <c r="A4" s="2" t="inlineStr">
        <is>
          <t>5.2 공정가치 서열체계</t>
        </is>
      </c>
    </row>
    <row r="5">
      <c r="A5" s="2" t="inlineStr">
        <is>
          <t>공정가치로 측정되는 금융상품은 공정가치 서열체계에 따라 구분되며 정의된 수준들은 다음과 같습니다.</t>
        </is>
      </c>
    </row>
    <row r="6">
      <c r="A6" s="5" t="inlineStr">
        <is>
          <t>-</t>
        </is>
      </c>
      <c r="B6" s="4" t="inlineStr">
        <is>
          <t>측정일에 동일한 자산이나 부채에 대해 접근할 수 있는 활성시장의 (조정하지 않은) 공시가격 (수준 1)</t>
        </is>
      </c>
    </row>
    <row r="7">
      <c r="A7" s="5" t="inlineStr">
        <is>
          <t>-</t>
        </is>
      </c>
      <c r="B7" s="4" t="inlineStr">
        <is>
          <t>수준 1의 공시가격 외에 자산이나 부채에 대해 직접적으로나 간접적으로 관측할 수 있는투입변수 (수준 2)</t>
        </is>
      </c>
    </row>
    <row r="8">
      <c r="A8" s="5" t="inlineStr">
        <is>
          <t>-</t>
        </is>
      </c>
      <c r="B8" s="4" t="inlineStr">
        <is>
          <t>자산이나 부채에 대한 관측할 수 없는 투입변수 (수준 3)</t>
        </is>
      </c>
    </row>
    <row r="10">
      <c r="A10" s="2" t="inlineStr">
        <is>
          <t>당기말과 전기말 현재 반복적으로 공정가치로 측정되고 인식된 당사의 금융자산은 다음과 같습니다.</t>
        </is>
      </c>
    </row>
    <row r="11">
      <c r="A11" s="2" t="inlineStr">
        <is>
          <t>&lt;당기말&gt;</t>
        </is>
      </c>
    </row>
    <row r="12">
      <c r="B12" s="2" t="inlineStr">
        <is>
          <t>(단위: 천원)</t>
        </is>
      </c>
    </row>
    <row r="13">
      <c r="A13" s="3" t="inlineStr">
        <is>
          <t>구 분</t>
        </is>
      </c>
      <c r="B13" s="3" t="inlineStr">
        <is>
          <t>수준1</t>
        </is>
      </c>
      <c r="C13" s="3" t="inlineStr">
        <is>
          <t>수준2</t>
        </is>
      </c>
      <c r="D13" s="3" t="inlineStr">
        <is>
          <t>수준3</t>
        </is>
      </c>
      <c r="E13" s="3" t="inlineStr">
        <is>
          <t>합 계</t>
        </is>
      </c>
    </row>
    <row r="14">
      <c r="A14" s="5" t="inlineStr">
        <is>
          <t>반복적인 공정가치 측정치</t>
        </is>
      </c>
      <c r="B14" s="4" t="inlineStr">
        <is>
          <t>반복적인 공정가치 측정치</t>
        </is>
      </c>
      <c r="C14" s="4" t="inlineStr">
        <is>
          <t>반복적인 공정가치 측정치</t>
        </is>
      </c>
      <c r="D14" s="4" t="inlineStr">
        <is>
          <t>반복적인 공정가치 측정치</t>
        </is>
      </c>
      <c r="E14" s="4" t="inlineStr">
        <is>
          <t>반복적인 공정가치 측정치</t>
        </is>
      </c>
    </row>
    <row r="15">
      <c r="A15" s="5" t="inlineStr">
        <is>
          <t>당기손익-공정가치 측정 금융자산</t>
        </is>
      </c>
      <c r="B15" s="7" t="n">
        <v>1855021</v>
      </c>
      <c r="C15" s="7" t="n">
        <v>0</v>
      </c>
      <c r="D15" s="7" t="n">
        <v>307573</v>
      </c>
      <c r="E15" s="7" t="n">
        <v>2162594</v>
      </c>
    </row>
    <row r="16">
      <c r="A16" s="5" t="inlineStr">
        <is>
          <t>기타포괄손익-공정가치 측정 금융자산</t>
        </is>
      </c>
      <c r="B16" s="7" t="n">
        <v>1863009</v>
      </c>
      <c r="C16" s="7" t="n">
        <v>0</v>
      </c>
      <c r="D16" s="7" t="n">
        <v>0</v>
      </c>
      <c r="E16" s="7" t="n">
        <v>1863009</v>
      </c>
    </row>
    <row r="18">
      <c r="A18" s="2" t="inlineStr">
        <is>
          <t>&lt;전기말&gt;</t>
        </is>
      </c>
    </row>
    <row r="19">
      <c r="B19" s="2" t="inlineStr">
        <is>
          <t>(단위: 천원)</t>
        </is>
      </c>
    </row>
    <row r="20">
      <c r="A20" s="3" t="inlineStr">
        <is>
          <t>구 분</t>
        </is>
      </c>
      <c r="B20" s="3" t="inlineStr">
        <is>
          <t>수준1</t>
        </is>
      </c>
      <c r="C20" s="3" t="inlineStr">
        <is>
          <t>수준2</t>
        </is>
      </c>
      <c r="D20" s="3" t="inlineStr">
        <is>
          <t>수준3</t>
        </is>
      </c>
      <c r="E20" s="3" t="inlineStr">
        <is>
          <t>합 계</t>
        </is>
      </c>
    </row>
    <row r="21">
      <c r="A21" s="5" t="inlineStr">
        <is>
          <t>반복적인 공정가치 측정치</t>
        </is>
      </c>
      <c r="B21" s="4" t="inlineStr">
        <is>
          <t>반복적인 공정가치 측정치</t>
        </is>
      </c>
      <c r="C21" s="4" t="inlineStr">
        <is>
          <t>반복적인 공정가치 측정치</t>
        </is>
      </c>
      <c r="D21" s="4" t="inlineStr">
        <is>
          <t>반복적인 공정가치 측정치</t>
        </is>
      </c>
      <c r="E21" s="4" t="inlineStr">
        <is>
          <t>반복적인 공정가치 측정치</t>
        </is>
      </c>
    </row>
    <row r="22">
      <c r="A22" s="5" t="inlineStr">
        <is>
          <t>당기손익-공정가치 측정 금융자산</t>
        </is>
      </c>
      <c r="B22" s="7" t="n">
        <v>0</v>
      </c>
      <c r="C22" s="7" t="n">
        <v>1005940</v>
      </c>
      <c r="D22" s="7" t="n">
        <v>297963</v>
      </c>
      <c r="E22" s="7" t="n">
        <v>1303903</v>
      </c>
    </row>
    <row r="23">
      <c r="A23" s="5" t="inlineStr">
        <is>
          <t>기타포괄손익-공정가치 측정 금융자산</t>
        </is>
      </c>
      <c r="B23" s="7" t="n">
        <v>1117640</v>
      </c>
      <c r="C23" s="7" t="n">
        <v>0</v>
      </c>
      <c r="D23" s="7" t="n">
        <v>0</v>
      </c>
      <c r="E23" s="7" t="n">
        <v>1117640</v>
      </c>
    </row>
    <row r="25">
      <c r="A25" s="2" t="inlineStr">
        <is>
          <t>5.3 반복적인 공정가치 측정치의 서열체계 수준 간 이동</t>
        </is>
      </c>
    </row>
    <row r="26">
      <c r="A26" s="2" t="inlineStr">
        <is>
          <t>당기 중 수준 1과 수준 2간의 유의적인 이동은 없으며, 당기 및 전기 중 수준 3으로 분류된 금융상품의 변동 내역은 다음과 같습니다.</t>
        </is>
      </c>
    </row>
    <row r="27">
      <c r="B27" s="2" t="inlineStr">
        <is>
          <t>(단위: 천원)</t>
        </is>
      </c>
    </row>
    <row r="28">
      <c r="A28" s="3" t="inlineStr">
        <is>
          <t>구 분</t>
        </is>
      </c>
      <c r="B28" s="3" t="inlineStr">
        <is>
          <t>당기손익-공정가치 측정 금융자산</t>
        </is>
      </c>
      <c r="C28" s="3" t="inlineStr">
        <is>
          <t>당기손익-공정가치 측정 금융자산</t>
        </is>
      </c>
    </row>
    <row r="29">
      <c r="A29" s="3" t="inlineStr">
        <is>
          <t>구 분</t>
        </is>
      </c>
      <c r="B29" s="3" t="inlineStr">
        <is>
          <t>당 기</t>
        </is>
      </c>
      <c r="C29" s="3" t="inlineStr">
        <is>
          <t>전 기</t>
        </is>
      </c>
    </row>
    <row r="30">
      <c r="A30" s="5" t="inlineStr">
        <is>
          <t>기초</t>
        </is>
      </c>
      <c r="B30" s="7" t="n">
        <v>297963</v>
      </c>
      <c r="C30" s="7" t="n">
        <v>0</v>
      </c>
    </row>
    <row r="31">
      <c r="A31" s="5" t="inlineStr">
        <is>
          <t>수준 2로부터의 이동</t>
        </is>
      </c>
      <c r="B31" s="7" t="n">
        <v>0</v>
      </c>
      <c r="C31" s="7" t="n">
        <v>290163</v>
      </c>
    </row>
    <row r="32">
      <c r="A32" s="5" t="inlineStr">
        <is>
          <t>평가</t>
        </is>
      </c>
      <c r="B32" s="7" t="n">
        <v>9610</v>
      </c>
      <c r="C32" s="7" t="n">
        <v>7800</v>
      </c>
    </row>
    <row r="33">
      <c r="A33" s="8" t="inlineStr">
        <is>
          <t>기말</t>
        </is>
      </c>
      <c r="B33" s="9" t="n">
        <v>307573</v>
      </c>
      <c r="C33" s="9" t="n">
        <v>297963</v>
      </c>
    </row>
    <row r="34">
      <c r="A34" s="2" t="inlineStr">
        <is>
          <t xml:space="preserve">  └ 푸팅검증: 기말(행 33) − Σ(행)</t>
        </is>
      </c>
      <c r="B34" s="17">
        <f>IF(ABS(B33-(SUM(B30:B32)))&lt;1.5,TRUE,B33-(SUM(B30:B32)))</f>
        <v/>
      </c>
      <c r="C34" s="17">
        <f>IF(ABS(C33-(SUM(C30:C32)))&lt;1.5,TRUE,C33-(SUM(C30:C32)))</f>
        <v/>
      </c>
    </row>
    <row r="36">
      <c r="A36" s="2" t="inlineStr">
        <is>
          <t>5.4 가치평가기법 및 투입변수보고기간종료일 현재 당사는 공정가치 서열체계에서 수준3으로 분류되는 반복적인 공정가치측정치, 비반복적인 공정가치측청치에 대해 다음의 가치평가기법과 투입변수를 사용하고 있습니다.</t>
        </is>
      </c>
    </row>
    <row r="37">
      <c r="B37" s="2" t="inlineStr">
        <is>
          <t>(단위: 천원)</t>
        </is>
      </c>
    </row>
    <row r="38">
      <c r="A38" s="3" t="inlineStr">
        <is>
          <t>구분</t>
        </is>
      </c>
      <c r="B38" s="3" t="inlineStr">
        <is>
          <t>공정가치</t>
        </is>
      </c>
      <c r="C38" s="3" t="inlineStr">
        <is>
          <t>수준</t>
        </is>
      </c>
      <c r="D38" s="3" t="inlineStr">
        <is>
          <t>가치평가법</t>
        </is>
      </c>
      <c r="E38" s="3" t="inlineStr">
        <is>
          <t>투입변수</t>
        </is>
      </c>
    </row>
    <row r="39">
      <c r="A39" s="5" t="inlineStr">
        <is>
          <t>당기손익-공정가치 측정 금융자산</t>
        </is>
      </c>
      <c r="B39" s="4" t="inlineStr">
        <is>
          <t>당기손익-공정가치 측정 금융자산</t>
        </is>
      </c>
      <c r="C39" s="4" t="inlineStr">
        <is>
          <t>당기손익-공정가치 측정 금융자산</t>
        </is>
      </c>
      <c r="D39" s="4" t="inlineStr">
        <is>
          <t>당기손익-공정가치 측정 금융자산</t>
        </is>
      </c>
      <c r="E39" s="4" t="inlineStr">
        <is>
          <t>당기손익-공정가치 측정 금융자산</t>
        </is>
      </c>
    </row>
    <row r="40">
      <c r="A40" s="5" t="inlineStr">
        <is>
          <t>출자금</t>
        </is>
      </c>
      <c r="B40" s="7" t="n">
        <v>307573</v>
      </c>
      <c r="C40" s="7" t="n">
        <v>3</v>
      </c>
      <c r="D40" s="4" t="inlineStr">
        <is>
          <t>순자산가치법</t>
        </is>
      </c>
      <c r="E40" s="4" t="inlineStr">
        <is>
          <t>순자산가치</t>
        </is>
      </c>
    </row>
  </sheetData>
  <conditionalFormatting sqref="B34">
    <cfRule type="expression" priority="1" dxfId="0">
      <formula>ISNUMBER(B34)</formula>
    </cfRule>
  </conditionalFormatting>
  <conditionalFormatting sqref="C34">
    <cfRule type="expression" priority="2" dxfId="0">
      <formula>ISNUMBER(C34)</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45"/>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6. 범주별 금융상품</t>
        </is>
      </c>
      <c r="J1" s="15">
        <f>HYPERLINK("#총괄표!A1","◀ 총괄표")</f>
        <v/>
      </c>
    </row>
    <row r="3">
      <c r="A3" s="2" t="inlineStr">
        <is>
          <t>6.1 금융상품 범주별 장부금액</t>
        </is>
      </c>
    </row>
    <row r="4">
      <c r="A4" s="2" t="inlineStr">
        <is>
          <t>당기말과 전기말 현재 범주별 금융상품의 장부금액은 다음과 같습니다.&lt;당기말&gt;</t>
        </is>
      </c>
    </row>
    <row r="5">
      <c r="B5" s="2" t="inlineStr">
        <is>
          <t>(단위: 천원)</t>
        </is>
      </c>
    </row>
    <row r="6">
      <c r="A6" s="3" t="inlineStr">
        <is>
          <t>구 분</t>
        </is>
      </c>
      <c r="B6" s="3" t="inlineStr">
        <is>
          <t>상각후원가 측정금융자산</t>
        </is>
      </c>
      <c r="C6" s="3" t="inlineStr">
        <is>
          <t>당기손익-공정가치측정 금융자산</t>
        </is>
      </c>
      <c r="D6" s="3" t="inlineStr">
        <is>
          <t>기타포괄손익-공정가치측정 금융자산</t>
        </is>
      </c>
      <c r="E6" s="3" t="inlineStr">
        <is>
          <t>상각후원가 측정금융부채</t>
        </is>
      </c>
    </row>
    <row r="7">
      <c r="A7" s="5" t="inlineStr">
        <is>
          <t>현금및현금성자산</t>
        </is>
      </c>
      <c r="B7" s="7" t="n">
        <v>4026180</v>
      </c>
      <c r="C7" s="7" t="n">
        <v>0</v>
      </c>
      <c r="D7" s="7" t="n">
        <v>0</v>
      </c>
      <c r="E7" s="7" t="n">
        <v>0</v>
      </c>
    </row>
    <row r="8">
      <c r="A8" s="5" t="inlineStr">
        <is>
          <t>매출채권및기타채권</t>
        </is>
      </c>
      <c r="B8" s="7" t="n">
        <v>8034792</v>
      </c>
      <c r="C8" s="7" t="n">
        <v>0</v>
      </c>
      <c r="D8" s="7" t="n">
        <v>0</v>
      </c>
      <c r="E8" s="7" t="n">
        <v>0</v>
      </c>
    </row>
    <row r="9">
      <c r="A9" s="5" t="inlineStr">
        <is>
          <t>당기손익-공정가치 측정 금융자산</t>
        </is>
      </c>
      <c r="B9" s="7" t="n">
        <v>0</v>
      </c>
      <c r="C9" s="7" t="n">
        <v>2162594</v>
      </c>
      <c r="D9" s="7" t="n">
        <v>0</v>
      </c>
      <c r="E9" s="7" t="n">
        <v>0</v>
      </c>
    </row>
    <row r="10">
      <c r="A10" s="5" t="inlineStr">
        <is>
          <t>기타포괄손익-공정가치 측정 금융자산</t>
        </is>
      </c>
      <c r="B10" s="7" t="n">
        <v>0</v>
      </c>
      <c r="C10" s="7" t="n">
        <v>0</v>
      </c>
      <c r="D10" s="7" t="n">
        <v>1863009</v>
      </c>
      <c r="E10" s="7" t="n">
        <v>0</v>
      </c>
    </row>
    <row r="11">
      <c r="A11" s="5" t="inlineStr">
        <is>
          <t>매입채무및기타지급채무(*)</t>
        </is>
      </c>
      <c r="B11" s="7" t="n">
        <v>0</v>
      </c>
      <c r="C11" s="7" t="n">
        <v>0</v>
      </c>
      <c r="D11" s="7" t="n">
        <v>0</v>
      </c>
      <c r="E11" s="7" t="n">
        <v>-5739452</v>
      </c>
    </row>
    <row r="12">
      <c r="A12" s="8" t="inlineStr">
        <is>
          <t>합 계</t>
        </is>
      </c>
      <c r="B12" s="9" t="n">
        <v>12060972</v>
      </c>
      <c r="C12" s="9" t="n">
        <v>2162594</v>
      </c>
      <c r="D12" s="9" t="n">
        <v>1863009</v>
      </c>
      <c r="E12" s="9" t="n">
        <v>-5739452</v>
      </c>
    </row>
    <row r="13">
      <c r="A13" s="2" t="inlineStr">
        <is>
          <t xml:space="preserve">  └ 푸팅검증: 합 계(행 12) − Σ(행)</t>
        </is>
      </c>
      <c r="B13" s="17">
        <f>IF(ABS(B12-(SUM(B7:B11)))&lt;1.5,TRUE,B12-(SUM(B7:B11)))</f>
        <v/>
      </c>
      <c r="C13" s="17">
        <f>IF(ABS(C12-(SUM(C7:C11)))&lt;1.5,TRUE,C12-(SUM(C7:C11)))</f>
        <v/>
      </c>
      <c r="D13" s="17">
        <f>IF(ABS(D12-(SUM(D7:D11)))&lt;1.5,TRUE,D12-(SUM(D7:D11)))</f>
        <v/>
      </c>
      <c r="E13" s="17">
        <f>IF(ABS(E12-(SUM(E7:E11)))&lt;1.5,TRUE,E12-(SUM(E7:E11)))</f>
        <v/>
      </c>
    </row>
    <row r="15">
      <c r="A15" s="2" t="inlineStr">
        <is>
          <t>&lt;전기말&gt;</t>
        </is>
      </c>
    </row>
    <row r="16">
      <c r="B16" s="2" t="inlineStr">
        <is>
          <t>(단위: 천원)</t>
        </is>
      </c>
    </row>
    <row r="17">
      <c r="A17" s="3" t="inlineStr">
        <is>
          <t>구 분</t>
        </is>
      </c>
      <c r="B17" s="3" t="inlineStr">
        <is>
          <t>상각후원가 측정금융자산</t>
        </is>
      </c>
      <c r="C17" s="3" t="inlineStr">
        <is>
          <t>당기손익-공정가치측정 금융자산</t>
        </is>
      </c>
      <c r="D17" s="3" t="inlineStr">
        <is>
          <t>기타포괄손익-공정가치측정 금융자산</t>
        </is>
      </c>
      <c r="E17" s="3" t="inlineStr">
        <is>
          <t>상각후원가측정금융부채</t>
        </is>
      </c>
    </row>
    <row r="18">
      <c r="A18" s="5" t="inlineStr">
        <is>
          <t>현금및현금성자산</t>
        </is>
      </c>
      <c r="B18" s="7" t="n">
        <v>7065892</v>
      </c>
      <c r="C18" s="7" t="n">
        <v>0</v>
      </c>
      <c r="D18" s="7" t="n">
        <v>0</v>
      </c>
      <c r="E18" s="7" t="n">
        <v>0</v>
      </c>
    </row>
    <row r="19">
      <c r="A19" s="5" t="inlineStr">
        <is>
          <t>매출채권및기타채권</t>
        </is>
      </c>
      <c r="B19" s="7" t="n">
        <v>3788663</v>
      </c>
      <c r="C19" s="7" t="n">
        <v>0</v>
      </c>
      <c r="D19" s="7" t="n">
        <v>0</v>
      </c>
      <c r="E19" s="7" t="n">
        <v>0</v>
      </c>
    </row>
    <row r="20">
      <c r="A20" s="5" t="inlineStr">
        <is>
          <t>당기손익-공정가치 측정 금융자산</t>
        </is>
      </c>
      <c r="B20" s="7" t="n">
        <v>0</v>
      </c>
      <c r="C20" s="7" t="n">
        <v>1303903</v>
      </c>
      <c r="D20" s="7" t="n">
        <v>0</v>
      </c>
      <c r="E20" s="7" t="n">
        <v>0</v>
      </c>
    </row>
    <row r="21">
      <c r="A21" s="5" t="inlineStr">
        <is>
          <t>기타포괄손익-공정가치 측정 금융자산</t>
        </is>
      </c>
      <c r="B21" s="7" t="n">
        <v>0</v>
      </c>
      <c r="C21" s="7" t="n">
        <v>0</v>
      </c>
      <c r="D21" s="7" t="n">
        <v>1117640</v>
      </c>
      <c r="E21" s="7" t="n">
        <v>0</v>
      </c>
    </row>
    <row r="22">
      <c r="A22" s="5" t="inlineStr">
        <is>
          <t>매입채무및기타지급채무(*)</t>
        </is>
      </c>
      <c r="B22" s="7" t="n">
        <v>0</v>
      </c>
      <c r="C22" s="7" t="n">
        <v>0</v>
      </c>
      <c r="D22" s="7" t="n">
        <v>0</v>
      </c>
      <c r="E22" s="7" t="n">
        <v>-3465922</v>
      </c>
    </row>
    <row r="23">
      <c r="A23" s="8" t="inlineStr">
        <is>
          <t>합 계</t>
        </is>
      </c>
      <c r="B23" s="9" t="n">
        <v>10854555</v>
      </c>
      <c r="C23" s="9" t="n">
        <v>1303903</v>
      </c>
      <c r="D23" s="9" t="n">
        <v>1117640</v>
      </c>
      <c r="E23" s="9" t="n">
        <v>-3465922</v>
      </c>
    </row>
    <row r="24">
      <c r="A24" s="2" t="inlineStr">
        <is>
          <t xml:space="preserve">  └ 푸팅검증: 합 계(행 23) − Σ(행)</t>
        </is>
      </c>
      <c r="B24" s="17">
        <f>IF(ABS(B23-(SUM(B18:B22)))&lt;1.5,TRUE,B23-(SUM(B18:B22)))</f>
        <v/>
      </c>
      <c r="C24" s="17">
        <f>IF(ABS(C23-(SUM(C18:C22)))&lt;1.5,TRUE,C23-(SUM(C18:C22)))</f>
        <v/>
      </c>
      <c r="D24" s="17">
        <f>IF(ABS(D23-(SUM(D18:D22)))&lt;1.5,TRUE,D23-(SUM(D18:D22)))</f>
        <v/>
      </c>
      <c r="E24" s="17">
        <f>IF(ABS(E23-(SUM(E18:E22)))&lt;1.5,TRUE,E23-(SUM(E18:E22)))</f>
        <v/>
      </c>
    </row>
    <row r="26">
      <c r="A26" s="2" t="inlineStr">
        <is>
          <t>(*) 기타지급채무 중 종업원급여제도에 따른 당사의 의무에 대응하는 종업원급여부채 262,318천원(전기말: 270,527천원)은 금융상품 공시 대상이 아니므로 제외되었습니다. 또한, 리스이용자로서 리스계약에 따른 리스부채는 포함하지 않았습니다.</t>
        </is>
      </c>
    </row>
    <row r="27">
      <c r="A27" s="2" t="inlineStr">
        <is>
          <t>6.2 금융상품 범주별 순손익</t>
        </is>
      </c>
    </row>
    <row r="28">
      <c r="A28" s="2" t="inlineStr">
        <is>
          <t>당기와 전기 중 금융상품 범주별 순손익은 다음과 같습니다.</t>
        </is>
      </c>
    </row>
    <row r="29">
      <c r="B29" s="2" t="inlineStr">
        <is>
          <t>(단위: 천원)</t>
        </is>
      </c>
    </row>
    <row r="30">
      <c r="A30" s="3" t="inlineStr">
        <is>
          <t>구 분</t>
        </is>
      </c>
      <c r="B30" s="3" t="inlineStr">
        <is>
          <t>당 기</t>
        </is>
      </c>
      <c r="C30" s="3" t="inlineStr">
        <is>
          <t>전 기</t>
        </is>
      </c>
    </row>
    <row r="31">
      <c r="A31" s="5" t="inlineStr">
        <is>
          <t>상각후원가 측정 금융자산</t>
        </is>
      </c>
      <c r="B31" s="4" t="inlineStr">
        <is>
          <t>상각후원가 측정 금융자산</t>
        </is>
      </c>
      <c r="C31" s="4" t="inlineStr">
        <is>
          <t>상각후원가 측정 금융자산</t>
        </is>
      </c>
    </row>
    <row r="32">
      <c r="A32" s="5" t="inlineStr">
        <is>
          <t>이자수익</t>
        </is>
      </c>
      <c r="B32" s="7" t="n">
        <v>112719</v>
      </c>
      <c r="C32" s="7" t="n">
        <v>229416</v>
      </c>
    </row>
    <row r="33">
      <c r="A33" s="5" t="inlineStr">
        <is>
          <t>대손상각비</t>
        </is>
      </c>
      <c r="B33" s="7" t="n">
        <v>-9851</v>
      </c>
      <c r="C33" s="7" t="n">
        <v>-158549</v>
      </c>
    </row>
    <row r="34">
      <c r="A34" s="5" t="inlineStr">
        <is>
          <t>외환차손익</t>
        </is>
      </c>
      <c r="B34" s="7" t="n">
        <v>-24946</v>
      </c>
      <c r="C34" s="7" t="n">
        <v>-15854</v>
      </c>
    </row>
    <row r="35">
      <c r="A35" s="5" t="inlineStr">
        <is>
          <t>외화평가손익</t>
        </is>
      </c>
      <c r="B35" s="7" t="n">
        <v>46891</v>
      </c>
      <c r="C35" s="7" t="n">
        <v>-8027</v>
      </c>
    </row>
    <row r="36">
      <c r="A36" s="5" t="inlineStr">
        <is>
          <t>당기손익-공정가치 측정 금융자산</t>
        </is>
      </c>
      <c r="B36" s="4" t="inlineStr">
        <is>
          <t>당기손익-공정가치 측정 금융자산</t>
        </is>
      </c>
      <c r="C36" s="4" t="inlineStr">
        <is>
          <t>당기손익-공정가치 측정 금융자산</t>
        </is>
      </c>
    </row>
    <row r="37">
      <c r="A37" s="5" t="inlineStr">
        <is>
          <t>평가및처분손익</t>
        </is>
      </c>
      <c r="B37" s="7" t="n">
        <v>501439</v>
      </c>
      <c r="C37" s="7" t="n">
        <v>13740</v>
      </c>
    </row>
    <row r="38">
      <c r="A38" s="5" t="inlineStr">
        <is>
          <t>배당금수익</t>
        </is>
      </c>
      <c r="B38" s="7" t="n">
        <v>864</v>
      </c>
      <c r="C38" s="7" t="n">
        <v>0</v>
      </c>
    </row>
    <row r="39">
      <c r="A39" s="5" t="inlineStr">
        <is>
          <t>기타포괄손익-공정가치 측정 금융자산</t>
        </is>
      </c>
      <c r="B39" s="4" t="inlineStr">
        <is>
          <t>기타포괄손익-공정가치 측정 금융자산</t>
        </is>
      </c>
      <c r="C39" s="4" t="inlineStr">
        <is>
          <t>기타포괄손익-공정가치 측정 금융자산</t>
        </is>
      </c>
    </row>
    <row r="40">
      <c r="A40" s="5" t="inlineStr">
        <is>
          <t>배당금수익</t>
        </is>
      </c>
      <c r="B40" s="7" t="n">
        <v>69828</v>
      </c>
      <c r="C40" s="7" t="n">
        <v>30421</v>
      </c>
    </row>
    <row r="41">
      <c r="A41" s="5" t="inlineStr">
        <is>
          <t>평가손익(기타포괄손익)</t>
        </is>
      </c>
      <c r="B41" s="7" t="n">
        <v>419571</v>
      </c>
      <c r="C41" s="7" t="n">
        <v>-397060</v>
      </c>
    </row>
    <row r="42">
      <c r="A42" s="5" t="inlineStr">
        <is>
          <t>상각후원가 측정 금융부채</t>
        </is>
      </c>
      <c r="B42" s="4" t="inlineStr">
        <is>
          <t>상각후원가 측정 금융부채</t>
        </is>
      </c>
      <c r="C42" s="4" t="inlineStr">
        <is>
          <t>상각후원가 측정 금융부채</t>
        </is>
      </c>
    </row>
    <row r="43">
      <c r="A43" s="5" t="inlineStr">
        <is>
          <t>이자비용</t>
        </is>
      </c>
      <c r="B43" s="7" t="n">
        <v>0</v>
      </c>
      <c r="C43" s="7" t="n">
        <v>-49998</v>
      </c>
    </row>
    <row r="44">
      <c r="A44" s="8" t="inlineStr">
        <is>
          <t>합 계</t>
        </is>
      </c>
      <c r="B44" s="9" t="n">
        <v>1116515</v>
      </c>
      <c r="C44" s="9" t="n">
        <v>-355911</v>
      </c>
    </row>
    <row r="45">
      <c r="A45" s="2" t="inlineStr">
        <is>
          <t xml:space="preserve">  └ 푸팅검증: 합 계(행 44) − Σ(행)</t>
        </is>
      </c>
      <c r="B45" s="17">
        <f>IF(ABS(B44-(B32+B33+B34+B35+B37+B38+B40+B41+B43))&lt;1.5,TRUE,B44-(B32+B33+B34+B35+B37+B38+B40+B41+B43))</f>
        <v/>
      </c>
      <c r="C45" s="17">
        <f>IF(ABS(C44-(C32+C33+C34+C35+C37+C38+C40+C41+C43))&lt;1.5,TRUE,C44-(C32+C33+C34+C35+C37+C38+C40+C41+C43))</f>
        <v/>
      </c>
    </row>
  </sheetData>
  <conditionalFormatting sqref="B13">
    <cfRule type="expression" priority="1" dxfId="0">
      <formula>ISNUMBER(B13)</formula>
    </cfRule>
  </conditionalFormatting>
  <conditionalFormatting sqref="B24">
    <cfRule type="expression" priority="2" dxfId="0">
      <formula>ISNUMBER(B24)</formula>
    </cfRule>
  </conditionalFormatting>
  <conditionalFormatting sqref="B45">
    <cfRule type="expression" priority="3" dxfId="0">
      <formula>ISNUMBER(B45)</formula>
    </cfRule>
  </conditionalFormatting>
  <conditionalFormatting sqref="C13">
    <cfRule type="expression" priority="4" dxfId="0">
      <formula>ISNUMBER(C13)</formula>
    </cfRule>
  </conditionalFormatting>
  <conditionalFormatting sqref="C24">
    <cfRule type="expression" priority="5" dxfId="0">
      <formula>ISNUMBER(C24)</formula>
    </cfRule>
  </conditionalFormatting>
  <conditionalFormatting sqref="C45">
    <cfRule type="expression" priority="6" dxfId="0">
      <formula>ISNUMBER(C45)</formula>
    </cfRule>
  </conditionalFormatting>
  <conditionalFormatting sqref="D13">
    <cfRule type="expression" priority="7" dxfId="0">
      <formula>ISNUMBER(D13)</formula>
    </cfRule>
  </conditionalFormatting>
  <conditionalFormatting sqref="D24">
    <cfRule type="expression" priority="8" dxfId="0">
      <formula>ISNUMBER(D24)</formula>
    </cfRule>
  </conditionalFormatting>
  <conditionalFormatting sqref="E13">
    <cfRule type="expression" priority="9" dxfId="0">
      <formula>ISNUMBER(E13)</formula>
    </cfRule>
  </conditionalFormatting>
  <conditionalFormatting sqref="E24">
    <cfRule type="expression" priority="10" dxfId="0">
      <formula>ISNUMBER(E24)</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6"/>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7. 영업부문</t>
        </is>
      </c>
      <c r="J1" s="15">
        <f>HYPERLINK("#총괄표!A1","◀ 총괄표")</f>
        <v/>
      </c>
    </row>
    <row r="3">
      <c r="A3" s="2" t="inlineStr">
        <is>
          <t>(1) 보고부문에 대한 정보당사의 영업부문은 수익을 창출하고 비용을 발생시키는 사업활동을 영위하는 식별가능한 구성단위로서 부문의 성과평가를 위하여 최고의사결정자가 주기적으로 검토하는 내부보고자료에 기초하여 부문을 구분하고 있습니다. 경영진은 당사의 경제적 특성이 유사한 영업부문을 통합하여 보고부문을 구성하고 있습니다.보고기간 종료일 현재 당사의 보고부문별 내용은 다음과 같습니다.</t>
        </is>
      </c>
    </row>
    <row r="4">
      <c r="A4" s="3" t="inlineStr">
        <is>
          <t>보고부문</t>
        </is>
      </c>
      <c r="B4" s="3" t="inlineStr">
        <is>
          <t>주요내용</t>
        </is>
      </c>
    </row>
    <row r="5">
      <c r="A5" s="5" t="inlineStr">
        <is>
          <t>비즈니스 금융 솔루션 상품</t>
        </is>
      </c>
      <c r="B5" s="4" t="inlineStr">
        <is>
          <t>NSK 서버, OGG 서버, DBMS 솔루션, HSM 보안장비, IOT, 기타 솔루션</t>
        </is>
      </c>
    </row>
    <row r="6">
      <c r="A6" s="5" t="inlineStr">
        <is>
          <t>용 역</t>
        </is>
      </c>
      <c r="B6" s="4" t="inlineStr">
        <is>
          <t>유지보수용역, 개발용역</t>
        </is>
      </c>
    </row>
    <row r="7">
      <c r="A7" s="5" t="inlineStr">
        <is>
          <t>기 타</t>
        </is>
      </c>
      <c r="B7" s="4" t="inlineStr">
        <is>
          <t>펜션 임대 및 관리용역 등</t>
        </is>
      </c>
    </row>
    <row r="9">
      <c r="A9" s="2" t="inlineStr">
        <is>
          <t>(2) 당기 및 전기 중 부문별 수익 및 매출총이익은 다음과 같습니다.</t>
        </is>
      </c>
    </row>
    <row r="10">
      <c r="B10" s="2" t="inlineStr">
        <is>
          <t>(단위: 천원)</t>
        </is>
      </c>
    </row>
    <row r="11">
      <c r="A11" s="3" t="inlineStr">
        <is>
          <t>구 분</t>
        </is>
      </c>
      <c r="B11" s="3" t="inlineStr">
        <is>
          <t>당 기</t>
        </is>
      </c>
      <c r="C11" s="3" t="inlineStr">
        <is>
          <t>당 기</t>
        </is>
      </c>
      <c r="D11" s="3" t="inlineStr">
        <is>
          <t>당 기</t>
        </is>
      </c>
      <c r="E11" s="3" t="inlineStr">
        <is>
          <t>당 기</t>
        </is>
      </c>
      <c r="F11" s="3" t="inlineStr">
        <is>
          <t>전 기</t>
        </is>
      </c>
      <c r="G11" s="3" t="inlineStr">
        <is>
          <t>전 기</t>
        </is>
      </c>
      <c r="H11" s="3" t="inlineStr">
        <is>
          <t>전 기</t>
        </is>
      </c>
      <c r="I11" s="3" t="inlineStr">
        <is>
          <t>전 기</t>
        </is>
      </c>
    </row>
    <row r="12">
      <c r="A12" s="3" t="inlineStr">
        <is>
          <t>구 분</t>
        </is>
      </c>
      <c r="B12" s="3" t="inlineStr">
        <is>
          <t>금융솔루션</t>
        </is>
      </c>
      <c r="C12" s="3" t="inlineStr">
        <is>
          <t>용 역</t>
        </is>
      </c>
      <c r="D12" s="3" t="inlineStr">
        <is>
          <t>기 타</t>
        </is>
      </c>
      <c r="E12" s="3" t="inlineStr">
        <is>
          <t>합 계</t>
        </is>
      </c>
      <c r="F12" s="3" t="inlineStr">
        <is>
          <t>금융솔루션</t>
        </is>
      </c>
      <c r="G12" s="3" t="inlineStr">
        <is>
          <t>용 역</t>
        </is>
      </c>
      <c r="H12" s="3" t="inlineStr">
        <is>
          <t>기 타</t>
        </is>
      </c>
      <c r="I12" s="3" t="inlineStr">
        <is>
          <t>합 계</t>
        </is>
      </c>
    </row>
    <row r="13">
      <c r="A13" s="5" t="inlineStr">
        <is>
          <t>총부문수익</t>
        </is>
      </c>
      <c r="B13" s="7" t="n">
        <v>9997623</v>
      </c>
      <c r="C13" s="7" t="n">
        <v>14720165</v>
      </c>
      <c r="D13" s="7" t="n">
        <v>145694</v>
      </c>
      <c r="E13" s="7" t="n">
        <v>24863482</v>
      </c>
      <c r="F13" s="7" t="n">
        <v>13595193</v>
      </c>
      <c r="G13" s="7" t="n">
        <v>15775567</v>
      </c>
      <c r="H13" s="7" t="n">
        <v>168595</v>
      </c>
      <c r="I13" s="7" t="n">
        <v>29539355</v>
      </c>
    </row>
    <row r="14">
      <c r="A14" s="5" t="inlineStr">
        <is>
          <t>매출총이익</t>
        </is>
      </c>
      <c r="B14" s="7" t="n">
        <v>1826878</v>
      </c>
      <c r="C14" s="7" t="n">
        <v>3384821</v>
      </c>
      <c r="D14" s="7" t="n">
        <v>-22938</v>
      </c>
      <c r="E14" s="7" t="n">
        <v>5188761</v>
      </c>
      <c r="F14" s="7" t="n">
        <v>1533717</v>
      </c>
      <c r="G14" s="7" t="n">
        <v>3590022</v>
      </c>
      <c r="H14" s="7" t="n">
        <v>-144943</v>
      </c>
      <c r="I14" s="7" t="n">
        <v>4978796</v>
      </c>
    </row>
    <row r="16">
      <c r="A16" s="2" t="inlineStr">
        <is>
          <t>(3) 당사는 보고부문별 자산과 부채에 대하여 최고의사결정권자에게 보고하지 않습니다.(4) 당기와 전기의 매출은 모두 국내(대한민국) 매출이며, 비유동자산은 모두 국내에 소재합니다.(5) 주요 고객에 대한 정보당사의 매출액의 10% 이상을 차지하는 외부 고객의 경우 당기는 B사로서 발생한 매출액은 3,881,251천원이며, 전기는 A사로서 발생한 매출액은 2,979,713천원입니다.</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8. 현금및현금성자산</t>
        </is>
      </c>
      <c r="J1" s="15">
        <f>HYPERLINK("#총괄표!A1","◀ 총괄표")</f>
        <v/>
      </c>
    </row>
    <row r="3">
      <c r="A3" s="2" t="inlineStr">
        <is>
          <t>당기말과 전기말 현재 현금및현금성자산 내역은 다음과 같습니다.</t>
        </is>
      </c>
    </row>
    <row r="4">
      <c r="B4" s="2" t="inlineStr">
        <is>
          <t>(단위: 천원)</t>
        </is>
      </c>
    </row>
    <row r="5">
      <c r="A5" s="3" t="inlineStr">
        <is>
          <t>구 분</t>
        </is>
      </c>
      <c r="B5" s="3" t="inlineStr">
        <is>
          <t>당기말</t>
        </is>
      </c>
      <c r="C5" s="3" t="inlineStr">
        <is>
          <t>전기말</t>
        </is>
      </c>
    </row>
    <row r="6">
      <c r="A6" s="5" t="inlineStr">
        <is>
          <t>현금</t>
        </is>
      </c>
      <c r="B6" s="7" t="n">
        <v>950</v>
      </c>
      <c r="C6" s="7" t="n">
        <v>225</v>
      </c>
    </row>
    <row r="7">
      <c r="A7" s="5" t="inlineStr">
        <is>
          <t>예적금 등</t>
        </is>
      </c>
      <c r="B7" s="7" t="n">
        <v>4025230</v>
      </c>
      <c r="C7" s="7" t="n">
        <v>7065667</v>
      </c>
    </row>
    <row r="8">
      <c r="A8" s="8" t="inlineStr">
        <is>
          <t>합 계</t>
        </is>
      </c>
      <c r="B8" s="9" t="n">
        <v>4026180</v>
      </c>
      <c r="C8" s="9" t="n">
        <v>7065892</v>
      </c>
    </row>
    <row r="9">
      <c r="A9" s="2" t="inlineStr">
        <is>
          <t xml:space="preserve">  └ 푸팅검증: 합 계(행 8) − Σ(행)</t>
        </is>
      </c>
      <c r="B9" s="17">
        <f>IF(ABS(B8-(SUM(B6:B7)))&lt;1.5,TRUE,B8-(SUM(B6:B7)))</f>
        <v/>
      </c>
      <c r="C9" s="17">
        <f>IF(ABS(C8-(SUM(C6:C7)))&lt;1.5,TRUE,C8-(SUM(C6:C7)))</f>
        <v/>
      </c>
    </row>
    <row r="12">
      <c r="A12" s="10" t="inlineStr">
        <is>
          <t>■ 크로스 참조</t>
        </is>
      </c>
    </row>
    <row r="13">
      <c r="A13" s="2" t="inlineStr">
        <is>
          <t>주8 현금및현금성자산 합계 = BS 현금및현금성자산</t>
        </is>
      </c>
      <c r="B13" s="17">
        <f>IF(ABS(B8*1000-'BS'!B8)&lt;5000,TRUE,B8*1000-'BS'!B8)</f>
        <v/>
      </c>
      <c r="C13" s="2" t="inlineStr">
        <is>
          <t>→ BS!B8</t>
        </is>
      </c>
    </row>
  </sheetData>
  <conditionalFormatting sqref="B9">
    <cfRule type="expression" priority="1" dxfId="0">
      <formula>ISNUMBER(B9)</formula>
    </cfRule>
  </conditionalFormatting>
  <conditionalFormatting sqref="C9">
    <cfRule type="expression" priority="2" dxfId="0">
      <formula>ISNUMBER(C9)</formula>
    </cfRule>
  </conditionalFormatting>
  <conditionalFormatting sqref="B13">
    <cfRule type="expression" priority="3" dxfId="0">
      <formula>ISNUMBER(B13)</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9"/>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9. 매출채권, 계약자산 및 기타 상각후원가 측정 금융자산</t>
        </is>
      </c>
      <c r="J1" s="15">
        <f>HYPERLINK("#총괄표!A1","◀ 총괄표")</f>
        <v/>
      </c>
    </row>
    <row r="3">
      <c r="A3" s="2" t="inlineStr">
        <is>
          <t>당기말과 전기말 현재 매출채권, 계약자산 및 기타 상각후원가 측정 금융자산의 내역은 다음과 같습니다.</t>
        </is>
      </c>
    </row>
    <row r="4">
      <c r="B4" s="2" t="inlineStr">
        <is>
          <t>(단위: 천원)</t>
        </is>
      </c>
    </row>
    <row r="5">
      <c r="A5" s="3" t="inlineStr">
        <is>
          <t>구 분</t>
        </is>
      </c>
      <c r="B5" s="3" t="inlineStr">
        <is>
          <t>당기말</t>
        </is>
      </c>
      <c r="C5" s="3" t="inlineStr">
        <is>
          <t>당기말</t>
        </is>
      </c>
      <c r="D5" s="3" t="inlineStr">
        <is>
          <t>당기말</t>
        </is>
      </c>
      <c r="E5" s="3" t="inlineStr">
        <is>
          <t>전기말</t>
        </is>
      </c>
      <c r="F5" s="3" t="inlineStr">
        <is>
          <t>전기말</t>
        </is>
      </c>
      <c r="G5" s="3" t="inlineStr">
        <is>
          <t>전기말</t>
        </is>
      </c>
    </row>
    <row r="6">
      <c r="A6" s="3" t="inlineStr">
        <is>
          <t>구 분</t>
        </is>
      </c>
      <c r="B6" s="3" t="inlineStr">
        <is>
          <t>총장부금액</t>
        </is>
      </c>
      <c r="C6" s="3" t="inlineStr">
        <is>
          <t>대손충당금</t>
        </is>
      </c>
      <c r="D6" s="3" t="inlineStr">
        <is>
          <t>순장부금액</t>
        </is>
      </c>
      <c r="E6" s="3" t="inlineStr">
        <is>
          <t>총장부금액</t>
        </is>
      </c>
      <c r="F6" s="3" t="inlineStr">
        <is>
          <t>대손충당금</t>
        </is>
      </c>
      <c r="G6" s="3" t="inlineStr">
        <is>
          <t>순장부금액</t>
        </is>
      </c>
    </row>
    <row r="7">
      <c r="A7" s="5" t="inlineStr">
        <is>
          <t>유동</t>
        </is>
      </c>
      <c r="B7" s="4" t="inlineStr">
        <is>
          <t>유동</t>
        </is>
      </c>
      <c r="C7" s="4" t="inlineStr">
        <is>
          <t>유동</t>
        </is>
      </c>
      <c r="D7" s="4" t="inlineStr">
        <is>
          <t>유동</t>
        </is>
      </c>
      <c r="E7" s="4" t="inlineStr">
        <is>
          <t>유동</t>
        </is>
      </c>
      <c r="F7" s="4" t="inlineStr">
        <is>
          <t>유동</t>
        </is>
      </c>
      <c r="G7" s="4" t="inlineStr">
        <is>
          <t>유동</t>
        </is>
      </c>
    </row>
    <row r="8">
      <c r="A8" s="5" t="inlineStr">
        <is>
          <t>매출채권(*)</t>
        </is>
      </c>
      <c r="B8" s="7" t="n">
        <v>7047622</v>
      </c>
      <c r="C8" s="7" t="n">
        <v>-353563</v>
      </c>
      <c r="D8" s="7" t="n">
        <v>6694059</v>
      </c>
      <c r="E8" s="7" t="n">
        <v>3114086</v>
      </c>
      <c r="F8" s="7" t="n">
        <v>-343712</v>
      </c>
      <c r="G8" s="7" t="n">
        <v>2770374</v>
      </c>
    </row>
    <row r="9">
      <c r="A9" s="5" t="inlineStr">
        <is>
          <t>기타채권</t>
        </is>
      </c>
      <c r="B9" s="4" t="inlineStr"/>
      <c r="C9" s="4" t="inlineStr"/>
      <c r="D9" s="4" t="inlineStr"/>
      <c r="E9" s="4" t="inlineStr"/>
      <c r="F9" s="4" t="inlineStr"/>
      <c r="G9" s="4" t="inlineStr"/>
    </row>
    <row r="10">
      <c r="A10" s="5" t="inlineStr">
        <is>
          <t>단기대여금</t>
        </is>
      </c>
      <c r="B10" s="7" t="n">
        <v>30690</v>
      </c>
      <c r="C10" s="7" t="n">
        <v>0</v>
      </c>
      <c r="D10" s="7" t="n">
        <v>30690</v>
      </c>
      <c r="E10" s="7" t="n">
        <v>36917</v>
      </c>
      <c r="F10" s="7" t="n">
        <v>0</v>
      </c>
      <c r="G10" s="7" t="n">
        <v>36917</v>
      </c>
    </row>
    <row r="11">
      <c r="A11" s="5" t="inlineStr">
        <is>
          <t>미수금</t>
        </is>
      </c>
      <c r="B11" s="7" t="n">
        <v>199644</v>
      </c>
      <c r="C11" s="7" t="n">
        <v>-199567</v>
      </c>
      <c r="D11" s="7" t="n">
        <v>77</v>
      </c>
      <c r="E11" s="7" t="n">
        <v>199591</v>
      </c>
      <c r="F11" s="7" t="n">
        <v>-199567</v>
      </c>
      <c r="G11" s="7" t="n">
        <v>24</v>
      </c>
    </row>
    <row r="12">
      <c r="A12" s="5" t="inlineStr">
        <is>
          <t>미수수익</t>
        </is>
      </c>
      <c r="B12" s="7" t="n">
        <v>0</v>
      </c>
      <c r="C12" s="7" t="n">
        <v>0</v>
      </c>
      <c r="D12" s="7" t="n">
        <v>0</v>
      </c>
      <c r="E12" s="7" t="n">
        <v>46632</v>
      </c>
      <c r="F12" s="7" t="n">
        <v>0</v>
      </c>
      <c r="G12" s="7" t="n">
        <v>46632</v>
      </c>
    </row>
    <row r="13">
      <c r="A13" s="5" t="inlineStr">
        <is>
          <t>보증금</t>
        </is>
      </c>
      <c r="B13" s="7" t="n">
        <v>1265216</v>
      </c>
      <c r="C13" s="7" t="n">
        <v>0</v>
      </c>
      <c r="D13" s="7" t="n">
        <v>1265216</v>
      </c>
      <c r="E13" s="7" t="n">
        <v>300000</v>
      </c>
      <c r="F13" s="7" t="n">
        <v>0</v>
      </c>
      <c r="G13" s="7" t="n">
        <v>300000</v>
      </c>
    </row>
    <row r="14">
      <c r="A14" s="8" t="inlineStr">
        <is>
          <t>소 계</t>
        </is>
      </c>
      <c r="B14" s="9" t="n">
        <v>1495550</v>
      </c>
      <c r="C14" s="9" t="n">
        <v>-199567</v>
      </c>
      <c r="D14" s="9" t="n">
        <v>1295983</v>
      </c>
      <c r="E14" s="9" t="n">
        <v>583140</v>
      </c>
      <c r="F14" s="9" t="n">
        <v>-199567</v>
      </c>
      <c r="G14" s="9" t="n">
        <v>383573</v>
      </c>
    </row>
    <row r="15">
      <c r="A15" s="5" t="inlineStr">
        <is>
          <t>유동 합계</t>
        </is>
      </c>
      <c r="B15" s="7" t="n">
        <v>8543172</v>
      </c>
      <c r="C15" s="7" t="n">
        <v>-553130</v>
      </c>
      <c r="D15" s="7" t="n">
        <v>7990042</v>
      </c>
      <c r="E15" s="7" t="n">
        <v>3697226</v>
      </c>
      <c r="F15" s="7" t="n">
        <v>-543279</v>
      </c>
      <c r="G15" s="7" t="n">
        <v>3153947</v>
      </c>
    </row>
    <row r="16">
      <c r="A16" s="5" t="inlineStr">
        <is>
          <t>비유동</t>
        </is>
      </c>
      <c r="B16" s="4" t="inlineStr">
        <is>
          <t>비유동</t>
        </is>
      </c>
      <c r="C16" s="4" t="inlineStr">
        <is>
          <t>비유동</t>
        </is>
      </c>
      <c r="D16" s="4" t="inlineStr">
        <is>
          <t>비유동</t>
        </is>
      </c>
      <c r="E16" s="4" t="inlineStr">
        <is>
          <t>비유동</t>
        </is>
      </c>
      <c r="F16" s="4" t="inlineStr">
        <is>
          <t>비유동</t>
        </is>
      </c>
      <c r="G16" s="4" t="inlineStr">
        <is>
          <t>비유동</t>
        </is>
      </c>
    </row>
    <row r="17">
      <c r="A17" s="5" t="inlineStr">
        <is>
          <t>장기대여금</t>
        </is>
      </c>
      <c r="B17" s="7" t="n">
        <v>44250</v>
      </c>
      <c r="C17" s="7" t="n">
        <v>0</v>
      </c>
      <c r="D17" s="7" t="n">
        <v>44250</v>
      </c>
      <c r="E17" s="7" t="n">
        <v>49000</v>
      </c>
      <c r="F17" s="7" t="n">
        <v>0</v>
      </c>
      <c r="G17" s="7" t="n">
        <v>49000</v>
      </c>
    </row>
    <row r="18">
      <c r="A18" s="5" t="inlineStr">
        <is>
          <t>보증금</t>
        </is>
      </c>
      <c r="B18" s="7" t="n">
        <v>500</v>
      </c>
      <c r="C18" s="7" t="n">
        <v>0</v>
      </c>
      <c r="D18" s="7" t="n">
        <v>500</v>
      </c>
      <c r="E18" s="7" t="n">
        <v>585716</v>
      </c>
      <c r="F18" s="7" t="n">
        <v>0</v>
      </c>
      <c r="G18" s="7" t="n">
        <v>585716</v>
      </c>
    </row>
    <row r="19">
      <c r="A19" s="5" t="inlineStr">
        <is>
          <t>비유동 합계</t>
        </is>
      </c>
      <c r="B19" s="7" t="n">
        <v>44750</v>
      </c>
      <c r="C19" s="7" t="n">
        <v>0</v>
      </c>
      <c r="D19" s="7" t="n">
        <v>44750</v>
      </c>
      <c r="E19" s="7" t="n">
        <v>634716</v>
      </c>
      <c r="F19" s="7" t="n">
        <v>0</v>
      </c>
      <c r="G19" s="7" t="n">
        <v>634716</v>
      </c>
    </row>
    <row r="20">
      <c r="A20" s="8" t="inlineStr">
        <is>
          <t>합 계</t>
        </is>
      </c>
      <c r="B20" s="9" t="n">
        <v>8587922</v>
      </c>
      <c r="C20" s="9" t="n">
        <v>-553130</v>
      </c>
      <c r="D20" s="9" t="n">
        <v>8034792</v>
      </c>
      <c r="E20" s="9" t="n">
        <v>4331942</v>
      </c>
      <c r="F20" s="9" t="n">
        <v>-543279</v>
      </c>
      <c r="G20" s="9" t="n">
        <v>3788663</v>
      </c>
    </row>
    <row r="21">
      <c r="A21" s="2" t="inlineStr">
        <is>
          <t xml:space="preserve">  └ 푸팅검증: 소 계(행 14) − 그룹합</t>
        </is>
      </c>
      <c r="B21" s="17">
        <f>IF(ABS(B14-(SUM(B10:B13)))&lt;1.5,TRUE,B14-(SUM(B10:B13)))</f>
        <v/>
      </c>
      <c r="C21" s="17">
        <f>IF(ABS(C14-(SUM(C10:C13)))&lt;1.5,TRUE,C14-(SUM(C10:C13)))</f>
        <v/>
      </c>
      <c r="D21" s="17">
        <f>IF(ABS(D14-(SUM(D10:D13)))&lt;1.5,TRUE,D14-(SUM(D10:D13)))</f>
        <v/>
      </c>
      <c r="E21" s="17">
        <f>IF(ABS(E14-(SUM(E10:E13)))&lt;1.5,TRUE,E14-(SUM(E10:E13)))</f>
        <v/>
      </c>
      <c r="F21" s="17">
        <f>IF(ABS(F14-(SUM(F10:F13)))&lt;1.5,TRUE,F14-(SUM(F10:F13)))</f>
        <v/>
      </c>
      <c r="G21" s="17">
        <f>IF(ABS(G14-(SUM(G10:G13)))&lt;1.5,TRUE,G14-(SUM(G10:G13)))</f>
        <v/>
      </c>
    </row>
    <row r="22">
      <c r="A22" s="2" t="inlineStr">
        <is>
          <t xml:space="preserve">  └ 푸팅검증: 합 계(행 20) − 그룹합</t>
        </is>
      </c>
      <c r="B22" s="17">
        <f>IF(ABS(B20-(B15+B19))&lt;1.5,TRUE,B20-(B15+B19))</f>
        <v/>
      </c>
      <c r="C22" s="17">
        <f>IF(ABS(C20-(C15+C19))&lt;1.5,TRUE,C20-(C15+C19))</f>
        <v/>
      </c>
      <c r="D22" s="17">
        <f>IF(ABS(D20-(D15+D19))&lt;1.5,TRUE,D20-(D15+D19))</f>
        <v/>
      </c>
      <c r="E22" s="17">
        <f>IF(ABS(E20-(E15+E19))&lt;1.5,TRUE,E20-(E15+E19))</f>
        <v/>
      </c>
      <c r="F22" s="17">
        <f>IF(ABS(F20-(F15+F19))&lt;1.5,TRUE,F20-(F15+F19))</f>
        <v/>
      </c>
      <c r="G22" s="17">
        <f>IF(ABS(G20-(G15+G19))&lt;1.5,TRUE,G20-(G15+G19))</f>
        <v/>
      </c>
    </row>
    <row r="24">
      <c r="A24" s="2" t="inlineStr">
        <is>
          <t>(*) 당기말 현재 매출채권에는 계약자산 644,343천원(전기말: 657,455천원)이 포함되어 있습니다.</t>
        </is>
      </c>
    </row>
    <row r="25">
      <c r="A25" s="2" t="inlineStr">
        <is>
          <t>매출채권은 정상적인 영업 과정에서 판매된 재화나 용역에 대하여 고객이 지불해야 할 금액입니다. 최초 인식시점에 매출채권이 유의적인 금융요소를 포함하지 않는 경우에는 거래가격을 공정가치로 측정합니다. 당사는 계약상 현금 흐름을 회수하는 목적으로 매출채권을 보유하고 있으므로 상각후원가로 측정하고 있습니다. 당사의 손상 정책 및 손실충당금 계산에 대한 사항은 주석 4.1.2에서 제공됩니다.</t>
        </is>
      </c>
    </row>
    <row r="27">
      <c r="A27" s="10" t="inlineStr">
        <is>
          <t>■ 크로스 참조</t>
        </is>
      </c>
    </row>
    <row r="28">
      <c r="A28" s="2" t="inlineStr">
        <is>
          <t>주9 매출채권 순장부금액 = BS 매출채권</t>
        </is>
      </c>
      <c r="B28" s="17">
        <f>IF(ABS(D8*1000-'BS'!B9)&lt;5000,TRUE,D8*1000-'BS'!B9)</f>
        <v/>
      </c>
      <c r="C28" s="2" t="inlineStr">
        <is>
          <t>→ BS!B9</t>
        </is>
      </c>
    </row>
    <row r="29">
      <c r="A29" s="2" t="inlineStr">
        <is>
          <t>주9 기타채권 소계 순장부금액 = BS 기타채권</t>
        </is>
      </c>
      <c r="B29" s="17">
        <f>IF(ABS(D14*1000-'BS'!B10)&lt;5000,TRUE,D14*1000-'BS'!B10)</f>
        <v/>
      </c>
      <c r="C29" s="2" t="inlineStr">
        <is>
          <t>→ BS!B10</t>
        </is>
      </c>
    </row>
  </sheetData>
  <conditionalFormatting sqref="B21:B22">
    <cfRule type="expression" priority="1" dxfId="0">
      <formula>ISNUMBER(B21)</formula>
    </cfRule>
  </conditionalFormatting>
  <conditionalFormatting sqref="C21:C22">
    <cfRule type="expression" priority="2" dxfId="0">
      <formula>ISNUMBER(C21)</formula>
    </cfRule>
  </conditionalFormatting>
  <conditionalFormatting sqref="D21:D22">
    <cfRule type="expression" priority="3" dxfId="0">
      <formula>ISNUMBER(D21)</formula>
    </cfRule>
  </conditionalFormatting>
  <conditionalFormatting sqref="E21:E22">
    <cfRule type="expression" priority="4" dxfId="0">
      <formula>ISNUMBER(E21)</formula>
    </cfRule>
  </conditionalFormatting>
  <conditionalFormatting sqref="F21:F22">
    <cfRule type="expression" priority="5" dxfId="0">
      <formula>ISNUMBER(F21)</formula>
    </cfRule>
  </conditionalFormatting>
  <conditionalFormatting sqref="G21:G22">
    <cfRule type="expression" priority="6" dxfId="0">
      <formula>ISNUMBER(G21)</formula>
    </cfRule>
  </conditionalFormatting>
  <conditionalFormatting sqref="B28:B29">
    <cfRule type="expression" priority="7" dxfId="0">
      <formula>ISNUMBER(B28)</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5"/>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10. 기타자산</t>
        </is>
      </c>
      <c r="J1" s="15">
        <f>HYPERLINK("#총괄표!A1","◀ 총괄표")</f>
        <v/>
      </c>
    </row>
    <row r="3">
      <c r="A3" s="2" t="inlineStr">
        <is>
          <t>당기말과 전기말 현재 기타자산의 내역은 다음과 같습니다.</t>
        </is>
      </c>
    </row>
    <row r="4">
      <c r="B4" s="2" t="inlineStr">
        <is>
          <t>(단위: 천원)</t>
        </is>
      </c>
    </row>
    <row r="5">
      <c r="A5" s="3" t="inlineStr">
        <is>
          <t>구 분</t>
        </is>
      </c>
      <c r="B5" s="3" t="inlineStr">
        <is>
          <t>당기말</t>
        </is>
      </c>
      <c r="C5" s="3" t="inlineStr">
        <is>
          <t>당기말</t>
        </is>
      </c>
      <c r="D5" s="3" t="inlineStr">
        <is>
          <t>전기말</t>
        </is>
      </c>
      <c r="E5" s="3" t="inlineStr">
        <is>
          <t>전기말</t>
        </is>
      </c>
    </row>
    <row r="6">
      <c r="A6" s="3" t="inlineStr">
        <is>
          <t>구 분</t>
        </is>
      </c>
      <c r="B6" s="3" t="inlineStr">
        <is>
          <t>유 동</t>
        </is>
      </c>
      <c r="C6" s="3" t="inlineStr">
        <is>
          <t>비유동</t>
        </is>
      </c>
      <c r="D6" s="3" t="inlineStr">
        <is>
          <t>유 동</t>
        </is>
      </c>
      <c r="E6" s="3" t="inlineStr">
        <is>
          <t>비유동</t>
        </is>
      </c>
    </row>
    <row r="7">
      <c r="A7" s="5" t="inlineStr">
        <is>
          <t>선급금</t>
        </is>
      </c>
      <c r="B7" s="7" t="n">
        <v>1859036</v>
      </c>
      <c r="C7" s="7" t="n">
        <v>1440167</v>
      </c>
      <c r="D7" s="7" t="n">
        <v>1345711</v>
      </c>
      <c r="E7" s="7" t="n">
        <v>609977</v>
      </c>
    </row>
    <row r="8">
      <c r="A8" s="5" t="inlineStr">
        <is>
          <t>부가세대급금</t>
        </is>
      </c>
      <c r="B8" s="7" t="n">
        <v>1708</v>
      </c>
      <c r="C8" s="7" t="n">
        <v>0</v>
      </c>
      <c r="D8" s="7" t="n">
        <v>0</v>
      </c>
      <c r="E8" s="7" t="n">
        <v>0</v>
      </c>
    </row>
    <row r="9">
      <c r="A9" s="8" t="inlineStr">
        <is>
          <t>합 계</t>
        </is>
      </c>
      <c r="B9" s="9" t="n">
        <v>1860744</v>
      </c>
      <c r="C9" s="9" t="n">
        <v>1440167</v>
      </c>
      <c r="D9" s="9" t="n">
        <v>1345711</v>
      </c>
      <c r="E9" s="9" t="n">
        <v>609977</v>
      </c>
    </row>
    <row r="10">
      <c r="A10" s="2" t="inlineStr">
        <is>
          <t xml:space="preserve">  └ 푸팅검증: 합 계(행 9) − Σ(행)</t>
        </is>
      </c>
      <c r="B10" s="17">
        <f>IF(ABS(B9-(SUM(B7:B8)))&lt;1.5,TRUE,B9-(SUM(B7:B8)))</f>
        <v/>
      </c>
      <c r="C10" s="17">
        <f>IF(ABS(C9-(SUM(C7:C8)))&lt;1.5,TRUE,C9-(SUM(C7:C8)))</f>
        <v/>
      </c>
      <c r="D10" s="17">
        <f>IF(ABS(D9-(SUM(D7:D8)))&lt;1.5,TRUE,D9-(SUM(D7:D8)))</f>
        <v/>
      </c>
      <c r="E10" s="17">
        <f>IF(ABS(E9-(SUM(E7:E8)))&lt;1.5,TRUE,E9-(SUM(E7:E8)))</f>
        <v/>
      </c>
    </row>
    <row r="13">
      <c r="A13" s="10" t="inlineStr">
        <is>
          <t>■ 크로스 참조</t>
        </is>
      </c>
    </row>
    <row r="14">
      <c r="A14" s="2" t="inlineStr">
        <is>
          <t>주10 기타자산 합계(유동) = BS 기타유동자산</t>
        </is>
      </c>
      <c r="B14" s="17">
        <f>IF(ABS(B9*1000-'BS'!B11)&lt;5000,TRUE,B9*1000-'BS'!B11)</f>
        <v/>
      </c>
      <c r="C14" s="2" t="inlineStr">
        <is>
          <t>→ BS!B11</t>
        </is>
      </c>
    </row>
    <row r="15">
      <c r="A15" s="2" t="inlineStr">
        <is>
          <t>주10 기타자산 합계(비유동) = BS 기타비유동자산</t>
        </is>
      </c>
      <c r="B15" s="17">
        <f>IF(ABS(C9*1000-'BS'!B22)&lt;5000,TRUE,C9*1000-'BS'!B22)</f>
        <v/>
      </c>
      <c r="C15" s="2" t="inlineStr">
        <is>
          <t>→ BS!B22</t>
        </is>
      </c>
    </row>
  </sheetData>
  <conditionalFormatting sqref="B10">
    <cfRule type="expression" priority="1" dxfId="0">
      <formula>ISNUMBER(B10)</formula>
    </cfRule>
  </conditionalFormatting>
  <conditionalFormatting sqref="C10">
    <cfRule type="expression" priority="2" dxfId="0">
      <formula>ISNUMBER(C10)</formula>
    </cfRule>
  </conditionalFormatting>
  <conditionalFormatting sqref="D10">
    <cfRule type="expression" priority="3" dxfId="0">
      <formula>ISNUMBER(D10)</formula>
    </cfRule>
  </conditionalFormatting>
  <conditionalFormatting sqref="E10">
    <cfRule type="expression" priority="4" dxfId="0">
      <formula>ISNUMBER(E10)</formula>
    </cfRule>
  </conditionalFormatting>
  <conditionalFormatting sqref="B14:B15">
    <cfRule type="expression" priority="5" dxfId="0">
      <formula>ISNUMBER(B14)</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2"/>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11. 재고자산</t>
        </is>
      </c>
      <c r="J1" s="15">
        <f>HYPERLINK("#총괄표!A1","◀ 총괄표")</f>
        <v/>
      </c>
    </row>
    <row r="3">
      <c r="A3" s="2" t="inlineStr">
        <is>
          <t>당기말과 전기말 현재 재고자산의 장부금액은 다음과 같습니다.</t>
        </is>
      </c>
    </row>
    <row r="4">
      <c r="B4" s="2" t="inlineStr">
        <is>
          <t>(단위: 천원)</t>
        </is>
      </c>
    </row>
    <row r="5">
      <c r="A5" s="3" t="inlineStr">
        <is>
          <t>구 분</t>
        </is>
      </c>
      <c r="B5" s="3" t="inlineStr">
        <is>
          <t>당기말</t>
        </is>
      </c>
      <c r="C5" s="3" t="inlineStr">
        <is>
          <t>당기말</t>
        </is>
      </c>
      <c r="D5" s="3" t="inlineStr">
        <is>
          <t>당기말</t>
        </is>
      </c>
      <c r="E5" s="3" t="inlineStr">
        <is>
          <t>전기말</t>
        </is>
      </c>
      <c r="F5" s="3" t="inlineStr">
        <is>
          <t>전기말</t>
        </is>
      </c>
      <c r="G5" s="3" t="inlineStr">
        <is>
          <t>전기말</t>
        </is>
      </c>
    </row>
    <row r="6">
      <c r="A6" s="3" t="inlineStr">
        <is>
          <t>구 분</t>
        </is>
      </c>
      <c r="B6" s="3" t="inlineStr">
        <is>
          <t>취득원가</t>
        </is>
      </c>
      <c r="C6" s="3" t="inlineStr">
        <is>
          <t>평가충당금(*)</t>
        </is>
      </c>
      <c r="D6" s="3" t="inlineStr">
        <is>
          <t>장부금액</t>
        </is>
      </c>
      <c r="E6" s="3" t="inlineStr">
        <is>
          <t>취득원가</t>
        </is>
      </c>
      <c r="F6" s="3" t="inlineStr">
        <is>
          <t>평가충당금(*)</t>
        </is>
      </c>
      <c r="G6" s="3" t="inlineStr">
        <is>
          <t>장부금액</t>
        </is>
      </c>
    </row>
    <row r="7">
      <c r="A7" s="5" t="inlineStr">
        <is>
          <t>상 품</t>
        </is>
      </c>
      <c r="B7" s="7" t="n">
        <v>975851</v>
      </c>
      <c r="C7" s="7" t="n">
        <v>-686803</v>
      </c>
      <c r="D7" s="7" t="n">
        <v>289048</v>
      </c>
      <c r="E7" s="7" t="n">
        <v>850553</v>
      </c>
      <c r="F7" s="7" t="n">
        <v>-361785</v>
      </c>
      <c r="G7" s="7" t="n">
        <v>488768</v>
      </c>
    </row>
    <row r="9">
      <c r="A9" s="2" t="inlineStr">
        <is>
          <t>(*) 당기 중 재고자산의 순실현가능가치에 따른 재고자산평가손실 325,018천원(전기: 361,785천원)을 인식하였으며, 손익계산서의 매출원가에 포함됐습니다.당기와 전기 중 매출원가로 인식된 재고자산의 원가는 각각 8,170,745천원 및 12,061,640천원입니다.</t>
        </is>
      </c>
    </row>
    <row r="11">
      <c r="A11" s="10" t="inlineStr">
        <is>
          <t>■ 크로스 참조</t>
        </is>
      </c>
    </row>
    <row r="12">
      <c r="A12" s="2" t="inlineStr">
        <is>
          <t>주11 재고자산 장부금액 = BS 재고자산</t>
        </is>
      </c>
      <c r="B12" s="17">
        <f>IF(ABS(D7*1000-'BS'!B12)&lt;5000,TRUE,D7*1000-'BS'!B12)</f>
        <v/>
      </c>
      <c r="C12" s="2" t="inlineStr">
        <is>
          <t>→ BS!B12</t>
        </is>
      </c>
    </row>
  </sheetData>
  <conditionalFormatting sqref="B12">
    <cfRule type="expression" priority="1" dxfId="0">
      <formula>ISNUMBER(B12)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39"/>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12. 공정가치 측정 금융자산</t>
        </is>
      </c>
      <c r="J1" s="15">
        <f>HYPERLINK("#총괄표!A1","◀ 총괄표")</f>
        <v/>
      </c>
    </row>
    <row r="3">
      <c r="A3" s="2" t="inlineStr">
        <is>
          <t>(1) 당기말과 전기말 현재 당기손익-공정가치 측정 금융자산 및 기타포괄손익-공정가치 측정 금융자산의 내역은 다음과 같습니다.</t>
        </is>
      </c>
    </row>
    <row r="4">
      <c r="B4" s="2" t="inlineStr">
        <is>
          <t>(단위: 천원)</t>
        </is>
      </c>
    </row>
    <row r="5">
      <c r="A5" s="3" t="inlineStr">
        <is>
          <t>구 분</t>
        </is>
      </c>
      <c r="B5" s="3" t="inlineStr">
        <is>
          <t>범 주</t>
        </is>
      </c>
      <c r="C5" s="3" t="inlineStr">
        <is>
          <t>당기말</t>
        </is>
      </c>
      <c r="D5" s="3" t="inlineStr">
        <is>
          <t>당기말</t>
        </is>
      </c>
      <c r="E5" s="3" t="inlineStr">
        <is>
          <t>전기말</t>
        </is>
      </c>
      <c r="F5" s="3" t="inlineStr">
        <is>
          <t>전기말</t>
        </is>
      </c>
    </row>
    <row r="6">
      <c r="A6" s="3" t="inlineStr">
        <is>
          <t>구 분</t>
        </is>
      </c>
      <c r="B6" s="3" t="inlineStr">
        <is>
          <t>범 주</t>
        </is>
      </c>
      <c r="C6" s="3" t="inlineStr">
        <is>
          <t>유 동</t>
        </is>
      </c>
      <c r="D6" s="3" t="inlineStr">
        <is>
          <t>비유동</t>
        </is>
      </c>
      <c r="E6" s="3" t="inlineStr">
        <is>
          <t>유 동</t>
        </is>
      </c>
      <c r="F6" s="3" t="inlineStr">
        <is>
          <t>비유동</t>
        </is>
      </c>
    </row>
    <row r="7">
      <c r="A7" s="5" t="inlineStr">
        <is>
          <t>지분증권(*1)(*2)</t>
        </is>
      </c>
      <c r="B7" s="4" t="inlineStr">
        <is>
          <t>기타포괄손익-공정가치 측정 금융자산</t>
        </is>
      </c>
      <c r="C7" s="7" t="n">
        <v>0</v>
      </c>
      <c r="D7" s="7" t="n">
        <v>1863009</v>
      </c>
      <c r="E7" s="7" t="n">
        <v>0</v>
      </c>
      <c r="F7" s="7" t="n">
        <v>1117640</v>
      </c>
    </row>
    <row r="8">
      <c r="A8" s="5" t="inlineStr">
        <is>
          <t>지분증권, 출자금 외(*3)</t>
        </is>
      </c>
      <c r="B8" s="4" t="inlineStr">
        <is>
          <t>당기손익-공정가치 측정 금융자산</t>
        </is>
      </c>
      <c r="C8" s="7" t="n">
        <v>1363118</v>
      </c>
      <c r="D8" s="7" t="n">
        <v>799476</v>
      </c>
      <c r="E8" s="7" t="n">
        <v>1005940</v>
      </c>
      <c r="F8" s="7" t="n">
        <v>297963</v>
      </c>
    </row>
    <row r="9">
      <c r="A9" s="8" t="inlineStr">
        <is>
          <t>합 계</t>
        </is>
      </c>
      <c r="B9" s="18" t="inlineStr">
        <is>
          <t>합 계</t>
        </is>
      </c>
      <c r="C9" s="9" t="n">
        <v>1363118</v>
      </c>
      <c r="D9" s="9" t="n">
        <v>2662485</v>
      </c>
      <c r="E9" s="9" t="n">
        <v>1005940</v>
      </c>
      <c r="F9" s="9" t="n">
        <v>1415603</v>
      </c>
    </row>
    <row r="10">
      <c r="A10" s="2" t="inlineStr">
        <is>
          <t xml:space="preserve">  └ 푸팅검증: 합 계(행 9) − Σ(행)</t>
        </is>
      </c>
      <c r="C10" s="17">
        <f>IF(ABS(C9-(SUM(C7:C8)))&lt;1.5,TRUE,C9-(SUM(C7:C8)))</f>
        <v/>
      </c>
      <c r="D10" s="17">
        <f>IF(ABS(D9-(SUM(D7:D8)))&lt;1.5,TRUE,D9-(SUM(D7:D8)))</f>
        <v/>
      </c>
      <c r="E10" s="17">
        <f>IF(ABS(E9-(SUM(E7:E8)))&lt;1.5,TRUE,E9-(SUM(E7:E8)))</f>
        <v/>
      </c>
      <c r="F10" s="17">
        <f>IF(ABS(F9-(SUM(F7:F8)))&lt;1.5,TRUE,F9-(SUM(F7:F8)))</f>
        <v/>
      </c>
    </row>
    <row r="12">
      <c r="A12" s="2" t="inlineStr">
        <is>
          <t>(*1) 위 지분상품의 처분시에는 관련 기타포괄손익누계액은 이익잉여금으로 재분류되며 당기손익으로 재분류되지 않습니다.(*2) 전기 중 일부 지분상품을 유동자산에서 비유동자산으로 재분류하였습니다.(*3) 동 출자금 중 일부는 거래이행 보증을 위해 소프트웨어공제조합에 담보로 제공되어 있습니다(주석 33 참조).</t>
        </is>
      </c>
    </row>
    <row r="13">
      <c r="A13" s="2" t="inlineStr">
        <is>
          <t>(2) 당기와 전기 중 기타포괄손익-공정가치 측정 금융자산의 변동내역은 다음과 같습니다.</t>
        </is>
      </c>
    </row>
    <row r="14">
      <c r="B14" s="2" t="inlineStr">
        <is>
          <t>(단위: 천원)</t>
        </is>
      </c>
    </row>
    <row r="15">
      <c r="A15" s="3" t="inlineStr">
        <is>
          <t>구 분</t>
        </is>
      </c>
      <c r="B15" s="3" t="inlineStr">
        <is>
          <t>당 기</t>
        </is>
      </c>
      <c r="C15" s="3" t="inlineStr">
        <is>
          <t>전 기</t>
        </is>
      </c>
    </row>
    <row r="16">
      <c r="A16" s="5" t="inlineStr">
        <is>
          <t>기초금액</t>
        </is>
      </c>
      <c r="B16" s="7" t="n">
        <v>1117640</v>
      </c>
      <c r="C16" s="7" t="n">
        <v>3531014</v>
      </c>
    </row>
    <row r="17">
      <c r="A17" s="5" t="inlineStr">
        <is>
          <t>취 득</t>
        </is>
      </c>
      <c r="B17" s="7" t="n">
        <v>924798</v>
      </c>
      <c r="C17" s="7" t="n">
        <v>761237</v>
      </c>
    </row>
    <row r="18">
      <c r="A18" s="5" t="inlineStr">
        <is>
          <t>평가손익</t>
        </is>
      </c>
      <c r="B18" s="7" t="n">
        <v>419571</v>
      </c>
      <c r="C18" s="7" t="n">
        <v>-397060</v>
      </c>
    </row>
    <row r="19">
      <c r="A19" s="5" t="inlineStr">
        <is>
          <t>처 분</t>
        </is>
      </c>
      <c r="B19" s="7" t="n">
        <v>-599000</v>
      </c>
      <c r="C19" s="7" t="n">
        <v>-2777551</v>
      </c>
    </row>
    <row r="20">
      <c r="A20" s="8" t="inlineStr">
        <is>
          <t>기말금액</t>
        </is>
      </c>
      <c r="B20" s="9" t="n">
        <v>1863009</v>
      </c>
      <c r="C20" s="9" t="n">
        <v>1117640</v>
      </c>
    </row>
    <row r="21">
      <c r="A21" s="2" t="inlineStr">
        <is>
          <t xml:space="preserve">  └ 푸팅검증: 기말금액(행 20) − Σ(행)</t>
        </is>
      </c>
      <c r="B21" s="17">
        <f>IF(ABS(B20-(SUM(B16:B19)))&lt;1.5,TRUE,B20-(SUM(B16:B19)))</f>
        <v/>
      </c>
      <c r="C21" s="17">
        <f>IF(ABS(C20-(SUM(C16:C19)))&lt;1.5,TRUE,C20-(SUM(C16:C19)))</f>
        <v/>
      </c>
    </row>
    <row r="23">
      <c r="A23" s="2" t="inlineStr">
        <is>
          <t>(3) 당기와 전기 중 기타포괄손익-공정가치 측정 금융자산의 평가손익 변동내역은 다음과 같습니다.</t>
        </is>
      </c>
    </row>
    <row r="24">
      <c r="B24" s="2" t="inlineStr">
        <is>
          <t>(단위: 천원)</t>
        </is>
      </c>
    </row>
    <row r="25">
      <c r="A25" s="3" t="inlineStr">
        <is>
          <t>구 분</t>
        </is>
      </c>
      <c r="B25" s="3" t="inlineStr">
        <is>
          <t>당 기</t>
        </is>
      </c>
      <c r="C25" s="3" t="inlineStr">
        <is>
          <t>전 기</t>
        </is>
      </c>
    </row>
    <row r="26">
      <c r="A26" s="5" t="inlineStr">
        <is>
          <t>기초금액</t>
        </is>
      </c>
      <c r="B26" s="7" t="n">
        <v>-1101843</v>
      </c>
      <c r="C26" s="7" t="n">
        <v>-763803</v>
      </c>
    </row>
    <row r="27">
      <c r="A27" s="5" t="inlineStr">
        <is>
          <t>평가금액(법인세효과 반영 전)</t>
        </is>
      </c>
      <c r="B27" s="7" t="n">
        <v>419571</v>
      </c>
      <c r="C27" s="7" t="n">
        <v>-397060</v>
      </c>
    </row>
    <row r="28">
      <c r="A28" s="5" t="inlineStr">
        <is>
          <t>법인세효과</t>
        </is>
      </c>
      <c r="B28" s="7" t="n">
        <v>-76457</v>
      </c>
      <c r="C28" s="7" t="n">
        <v>82986</v>
      </c>
    </row>
    <row r="29">
      <c r="A29" s="5" t="inlineStr">
        <is>
          <t>처분에 따른 이익잉여금 대체</t>
        </is>
      </c>
      <c r="B29" s="7" t="n">
        <v>-37804</v>
      </c>
      <c r="C29" s="7" t="n">
        <v>-23966</v>
      </c>
    </row>
    <row r="30">
      <c r="A30" s="8" t="inlineStr">
        <is>
          <t>기말금액</t>
        </is>
      </c>
      <c r="B30" s="9" t="n">
        <v>-796533</v>
      </c>
      <c r="C30" s="9" t="n">
        <v>-1101843</v>
      </c>
    </row>
    <row r="31">
      <c r="A31" s="2" t="inlineStr">
        <is>
          <t xml:space="preserve">  └ 푸팅검증: 기말금액(행 30) − Σ(행)</t>
        </is>
      </c>
      <c r="B31" s="17">
        <f>IF(ABS(B30-(SUM(B26:B29)))&lt;1.5,TRUE,B30-(SUM(B26:B29)))</f>
        <v/>
      </c>
      <c r="C31" s="17">
        <f>IF(ABS(C30-(SUM(C26:C29)))&lt;1.5,TRUE,C30-(SUM(C26:C29)))</f>
        <v/>
      </c>
    </row>
    <row r="33">
      <c r="A33" s="2" t="inlineStr">
        <is>
          <t>(4) 당기와 전기 중 당기손익-공정가치 측정 금융자산과 관련하여 손익으로 인식된 금액은 다음과 같습니다.</t>
        </is>
      </c>
    </row>
    <row r="34">
      <c r="B34" s="2" t="inlineStr">
        <is>
          <t>(단위: 천원)</t>
        </is>
      </c>
    </row>
    <row r="35">
      <c r="A35" s="3" t="inlineStr">
        <is>
          <t>구 분</t>
        </is>
      </c>
      <c r="B35" s="3" t="inlineStr">
        <is>
          <t>당 기</t>
        </is>
      </c>
      <c r="C35" s="3" t="inlineStr">
        <is>
          <t>전 기</t>
        </is>
      </c>
    </row>
    <row r="36">
      <c r="A36" s="5" t="inlineStr">
        <is>
          <t>당기손익-공정가치 측정 금융자산 평가손익</t>
        </is>
      </c>
      <c r="B36" s="7" t="n">
        <v>-83866</v>
      </c>
      <c r="C36" s="7" t="n">
        <v>13740</v>
      </c>
    </row>
    <row r="37">
      <c r="A37" s="5" t="inlineStr">
        <is>
          <t>당기손익-공정가치 측정 금융자산 처분손익</t>
        </is>
      </c>
      <c r="B37" s="7" t="n">
        <v>585305</v>
      </c>
      <c r="C37" s="7" t="n">
        <v>0</v>
      </c>
    </row>
    <row r="38">
      <c r="A38" s="8" t="inlineStr">
        <is>
          <t>합 계</t>
        </is>
      </c>
      <c r="B38" s="9" t="n">
        <v>501439</v>
      </c>
      <c r="C38" s="9" t="n">
        <v>13740</v>
      </c>
    </row>
    <row r="39">
      <c r="A39" s="2" t="inlineStr">
        <is>
          <t xml:space="preserve">  └ 푸팅검증: 합 계(행 38) − Σ(행)</t>
        </is>
      </c>
      <c r="B39" s="17">
        <f>IF(ABS(B38-(SUM(B36:B37)))&lt;1.5,TRUE,B38-(SUM(B36:B37)))</f>
        <v/>
      </c>
      <c r="C39" s="17">
        <f>IF(ABS(C38-(SUM(C36:C37)))&lt;1.5,TRUE,C38-(SUM(C36:C37)))</f>
        <v/>
      </c>
    </row>
  </sheetData>
  <conditionalFormatting sqref="B21">
    <cfRule type="expression" priority="1" dxfId="0">
      <formula>ISNUMBER(B21)</formula>
    </cfRule>
  </conditionalFormatting>
  <conditionalFormatting sqref="B31">
    <cfRule type="expression" priority="2" dxfId="0">
      <formula>ISNUMBER(B31)</formula>
    </cfRule>
  </conditionalFormatting>
  <conditionalFormatting sqref="B39">
    <cfRule type="expression" priority="3" dxfId="0">
      <formula>ISNUMBER(B39)</formula>
    </cfRule>
  </conditionalFormatting>
  <conditionalFormatting sqref="C10">
    <cfRule type="expression" priority="4" dxfId="0">
      <formula>ISNUMBER(C10)</formula>
    </cfRule>
  </conditionalFormatting>
  <conditionalFormatting sqref="C21">
    <cfRule type="expression" priority="5" dxfId="0">
      <formula>ISNUMBER(C21)</formula>
    </cfRule>
  </conditionalFormatting>
  <conditionalFormatting sqref="C31">
    <cfRule type="expression" priority="6" dxfId="0">
      <formula>ISNUMBER(C31)</formula>
    </cfRule>
  </conditionalFormatting>
  <conditionalFormatting sqref="C39">
    <cfRule type="expression" priority="7" dxfId="0">
      <formula>ISNUMBER(C39)</formula>
    </cfRule>
  </conditionalFormatting>
  <conditionalFormatting sqref="D10">
    <cfRule type="expression" priority="8" dxfId="0">
      <formula>ISNUMBER(D10)</formula>
    </cfRule>
  </conditionalFormatting>
  <conditionalFormatting sqref="E10">
    <cfRule type="expression" priority="9" dxfId="0">
      <formula>ISNUMBER(E10)</formula>
    </cfRule>
  </conditionalFormatting>
  <conditionalFormatting sqref="F10">
    <cfRule type="expression" priority="10" dxfId="0">
      <formula>ISNUMBER(F10)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0"/>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13. 유형자산</t>
        </is>
      </c>
      <c r="J1" s="15">
        <f>HYPERLINK("#총괄표!A1","◀ 총괄표")</f>
        <v/>
      </c>
    </row>
    <row r="3">
      <c r="A3" s="2" t="inlineStr">
        <is>
          <t>(1) 당기말과 전기말 현재 유형자산 장부금액의 구성내역은 다음과 같습니다.</t>
        </is>
      </c>
    </row>
    <row r="4">
      <c r="A4" s="2" t="inlineStr">
        <is>
          <t>&lt;당기말&gt;</t>
        </is>
      </c>
    </row>
    <row r="5">
      <c r="B5" s="2" t="inlineStr">
        <is>
          <t>(단위: 천원)</t>
        </is>
      </c>
    </row>
    <row r="6">
      <c r="A6" s="3" t="inlineStr">
        <is>
          <t>구 분</t>
        </is>
      </c>
      <c r="B6" s="3" t="inlineStr">
        <is>
          <t>토 지</t>
        </is>
      </c>
      <c r="C6" s="3" t="inlineStr">
        <is>
          <t>건 물</t>
        </is>
      </c>
      <c r="D6" s="3" t="inlineStr">
        <is>
          <t>차량운반구</t>
        </is>
      </c>
      <c r="E6" s="3" t="inlineStr">
        <is>
          <t>집기비품</t>
        </is>
      </c>
      <c r="F6" s="3" t="inlineStr">
        <is>
          <t>기계장치</t>
        </is>
      </c>
      <c r="G6" s="3" t="inlineStr">
        <is>
          <t>사용권자산</t>
        </is>
      </c>
      <c r="H6" s="3" t="inlineStr">
        <is>
          <t>구축물</t>
        </is>
      </c>
      <c r="I6" s="3" t="inlineStr">
        <is>
          <t>합 계</t>
        </is>
      </c>
    </row>
    <row r="7">
      <c r="A7" s="5" t="inlineStr">
        <is>
          <t>취득원가</t>
        </is>
      </c>
      <c r="B7" s="7" t="n">
        <v>5232621</v>
      </c>
      <c r="C7" s="7" t="n">
        <v>1722996</v>
      </c>
      <c r="D7" s="7" t="n">
        <v>15573</v>
      </c>
      <c r="E7" s="7" t="n">
        <v>672746</v>
      </c>
      <c r="F7" s="7" t="n">
        <v>595613</v>
      </c>
      <c r="G7" s="7" t="n">
        <v>382522</v>
      </c>
      <c r="H7" s="7" t="n">
        <v>87563</v>
      </c>
      <c r="I7" s="7" t="n">
        <v>8709634</v>
      </c>
    </row>
    <row r="8">
      <c r="A8" s="5" t="inlineStr">
        <is>
          <t>감가상각누계액</t>
        </is>
      </c>
      <c r="B8" s="7" t="n">
        <v>0</v>
      </c>
      <c r="C8" s="7" t="n">
        <v>-368901</v>
      </c>
      <c r="D8" s="7" t="n">
        <v>-15572</v>
      </c>
      <c r="E8" s="7" t="n">
        <v>-649872</v>
      </c>
      <c r="F8" s="7" t="n">
        <v>-464002</v>
      </c>
      <c r="G8" s="7" t="n">
        <v>-266533</v>
      </c>
      <c r="H8" s="7" t="n">
        <v>-87560</v>
      </c>
      <c r="I8" s="7" t="n">
        <v>-1852440</v>
      </c>
    </row>
    <row r="9">
      <c r="A9" s="8" t="inlineStr">
        <is>
          <t>장부금액</t>
        </is>
      </c>
      <c r="B9" s="9" t="n">
        <v>5232621</v>
      </c>
      <c r="C9" s="9" t="n">
        <v>1354095</v>
      </c>
      <c r="D9" s="9" t="n">
        <v>1</v>
      </c>
      <c r="E9" s="9" t="n">
        <v>22874</v>
      </c>
      <c r="F9" s="9" t="n">
        <v>131611</v>
      </c>
      <c r="G9" s="9" t="n">
        <v>115989</v>
      </c>
      <c r="H9" s="9" t="n">
        <v>3</v>
      </c>
      <c r="I9" s="9" t="n">
        <v>6857194</v>
      </c>
    </row>
    <row r="10">
      <c r="A10" s="2" t="inlineStr">
        <is>
          <t xml:space="preserve">  └ 푸팅검증: 장부금액(행 9) − Σ(행)</t>
        </is>
      </c>
      <c r="B10" s="17">
        <f>IF(ABS(B9-(SUM(B7:B8)))&lt;1.5,TRUE,B9-(SUM(B7:B8)))</f>
        <v/>
      </c>
      <c r="C10" s="17">
        <f>IF(ABS(C9-(SUM(C7:C8)))&lt;1.5,TRUE,C9-(SUM(C7:C8)))</f>
        <v/>
      </c>
      <c r="D10" s="17">
        <f>IF(ABS(D9-(SUM(D7:D8)))&lt;1.5,TRUE,D9-(SUM(D7:D8)))</f>
        <v/>
      </c>
      <c r="E10" s="17">
        <f>IF(ABS(E9-(SUM(E7:E8)))&lt;1.5,TRUE,E9-(SUM(E7:E8)))</f>
        <v/>
      </c>
      <c r="F10" s="17">
        <f>IF(ABS(F9-(SUM(F7:F8)))&lt;1.5,TRUE,F9-(SUM(F7:F8)))</f>
        <v/>
      </c>
      <c r="G10" s="17">
        <f>IF(ABS(G9-(SUM(G7:G8)))&lt;1.5,TRUE,G9-(SUM(G7:G8)))</f>
        <v/>
      </c>
      <c r="H10" s="17">
        <f>IF(ABS(H9-(SUM(H7:H8)))&lt;1.5,TRUE,H9-(SUM(H7:H8)))</f>
        <v/>
      </c>
      <c r="I10" s="17">
        <f>IF(ABS(I9-(SUM(I7:I8)))&lt;1.5,TRUE,I9-(SUM(I7:I8)))</f>
        <v/>
      </c>
    </row>
    <row r="12">
      <c r="A12" s="2" t="inlineStr">
        <is>
          <t>&lt;전기말&gt;</t>
        </is>
      </c>
    </row>
    <row r="13">
      <c r="B13" s="2" t="inlineStr">
        <is>
          <t>(단위: 천원)</t>
        </is>
      </c>
    </row>
    <row r="14">
      <c r="A14" s="3" t="inlineStr">
        <is>
          <t>구 분</t>
        </is>
      </c>
      <c r="B14" s="3" t="inlineStr">
        <is>
          <t>토 지</t>
        </is>
      </c>
      <c r="C14" s="3" t="inlineStr">
        <is>
          <t>건 물</t>
        </is>
      </c>
      <c r="D14" s="3" t="inlineStr">
        <is>
          <t>차량운반구</t>
        </is>
      </c>
      <c r="E14" s="3" t="inlineStr">
        <is>
          <t>집기비품</t>
        </is>
      </c>
      <c r="F14" s="3" t="inlineStr">
        <is>
          <t>기계장치</t>
        </is>
      </c>
      <c r="G14" s="3" t="inlineStr">
        <is>
          <t>사용권자산</t>
        </is>
      </c>
      <c r="H14" s="3" t="inlineStr">
        <is>
          <t>구축물</t>
        </is>
      </c>
      <c r="I14" s="3" t="inlineStr">
        <is>
          <t>합 계</t>
        </is>
      </c>
    </row>
    <row r="15">
      <c r="A15" s="5" t="inlineStr">
        <is>
          <t>취득원가</t>
        </is>
      </c>
      <c r="B15" s="7" t="n">
        <v>5232621</v>
      </c>
      <c r="C15" s="7" t="n">
        <v>1722996</v>
      </c>
      <c r="D15" s="7" t="n">
        <v>31250</v>
      </c>
      <c r="E15" s="7" t="n">
        <v>661061</v>
      </c>
      <c r="F15" s="7" t="n">
        <v>515238</v>
      </c>
      <c r="G15" s="7" t="n">
        <v>382522</v>
      </c>
      <c r="H15" s="7" t="n">
        <v>87563</v>
      </c>
      <c r="I15" s="7" t="n">
        <v>8633251</v>
      </c>
    </row>
    <row r="16">
      <c r="A16" s="5" t="inlineStr">
        <is>
          <t>감가상각누계액</t>
        </is>
      </c>
      <c r="B16" s="7" t="n">
        <v>0</v>
      </c>
      <c r="C16" s="7" t="n">
        <v>-325826</v>
      </c>
      <c r="D16" s="7" t="n">
        <v>-25370</v>
      </c>
      <c r="E16" s="7" t="n">
        <v>-623214</v>
      </c>
      <c r="F16" s="7" t="n">
        <v>-419551</v>
      </c>
      <c r="G16" s="7" t="n">
        <v>-89094</v>
      </c>
      <c r="H16" s="7" t="n">
        <v>-77903</v>
      </c>
      <c r="I16" s="7" t="n">
        <v>-1560958</v>
      </c>
    </row>
    <row r="17">
      <c r="A17" s="8" t="inlineStr">
        <is>
          <t>장부금액</t>
        </is>
      </c>
      <c r="B17" s="9" t="n">
        <v>5232621</v>
      </c>
      <c r="C17" s="9" t="n">
        <v>1397170</v>
      </c>
      <c r="D17" s="9" t="n">
        <v>5880</v>
      </c>
      <c r="E17" s="9" t="n">
        <v>37847</v>
      </c>
      <c r="F17" s="9" t="n">
        <v>95687</v>
      </c>
      <c r="G17" s="9" t="n">
        <v>293428</v>
      </c>
      <c r="H17" s="9" t="n">
        <v>9660</v>
      </c>
      <c r="I17" s="9" t="n">
        <v>7072293</v>
      </c>
    </row>
    <row r="18">
      <c r="A18" s="2" t="inlineStr">
        <is>
          <t xml:space="preserve">  └ 푸팅검증: 장부금액(행 17) − Σ(행)</t>
        </is>
      </c>
      <c r="B18" s="17">
        <f>IF(ABS(B17-(SUM(B15:B16)))&lt;1.5,TRUE,B17-(SUM(B15:B16)))</f>
        <v/>
      </c>
      <c r="C18" s="17">
        <f>IF(ABS(C17-(SUM(C15:C16)))&lt;1.5,TRUE,C17-(SUM(C15:C16)))</f>
        <v/>
      </c>
      <c r="D18" s="17">
        <f>IF(ABS(D17-(SUM(D15:D16)))&lt;1.5,TRUE,D17-(SUM(D15:D16)))</f>
        <v/>
      </c>
      <c r="E18" s="17">
        <f>IF(ABS(E17-(SUM(E15:E16)))&lt;1.5,TRUE,E17-(SUM(E15:E16)))</f>
        <v/>
      </c>
      <c r="F18" s="17">
        <f>IF(ABS(F17-(SUM(F15:F16)))&lt;1.5,TRUE,F17-(SUM(F15:F16)))</f>
        <v/>
      </c>
      <c r="G18" s="17">
        <f>IF(ABS(G17-(SUM(G15:G16)))&lt;1.5,TRUE,G17-(SUM(G15:G16)))</f>
        <v/>
      </c>
      <c r="H18" s="17">
        <f>IF(ABS(H17-(SUM(H15:H16)))&lt;1.5,TRUE,H17-(SUM(H15:H16)))</f>
        <v/>
      </c>
      <c r="I18" s="17">
        <f>IF(ABS(I17-(SUM(I15:I16)))&lt;1.5,TRUE,I17-(SUM(I15:I16)))</f>
        <v/>
      </c>
    </row>
    <row r="20">
      <c r="A20" s="2" t="inlineStr">
        <is>
          <t>(2) 당기와 전기 중 유형자산 장부금액의 변동내역은 다음과 같습니다.&lt;당기&gt;</t>
        </is>
      </c>
    </row>
    <row r="21">
      <c r="B21" s="2" t="inlineStr">
        <is>
          <t>(단위: 천원)</t>
        </is>
      </c>
    </row>
    <row r="22">
      <c r="A22" s="3" t="inlineStr">
        <is>
          <t>구 분</t>
        </is>
      </c>
      <c r="B22" s="3" t="inlineStr">
        <is>
          <t>토 지</t>
        </is>
      </c>
      <c r="C22" s="3" t="inlineStr">
        <is>
          <t>건 물</t>
        </is>
      </c>
      <c r="D22" s="3" t="inlineStr">
        <is>
          <t>차량운반구</t>
        </is>
      </c>
      <c r="E22" s="3" t="inlineStr">
        <is>
          <t>집기비품</t>
        </is>
      </c>
      <c r="F22" s="3" t="inlineStr">
        <is>
          <t>기계장치</t>
        </is>
      </c>
      <c r="G22" s="3" t="inlineStr">
        <is>
          <t>사용권자산</t>
        </is>
      </c>
      <c r="H22" s="3" t="inlineStr">
        <is>
          <t>구축물</t>
        </is>
      </c>
      <c r="I22" s="3" t="inlineStr">
        <is>
          <t>합 계</t>
        </is>
      </c>
    </row>
    <row r="23">
      <c r="A23" s="5" t="inlineStr">
        <is>
          <t>기초금액</t>
        </is>
      </c>
      <c r="B23" s="7" t="n">
        <v>5232621</v>
      </c>
      <c r="C23" s="7" t="n">
        <v>1397170</v>
      </c>
      <c r="D23" s="7" t="n">
        <v>5880</v>
      </c>
      <c r="E23" s="7" t="n">
        <v>37847</v>
      </c>
      <c r="F23" s="7" t="n">
        <v>95687</v>
      </c>
      <c r="G23" s="7" t="n">
        <v>293428</v>
      </c>
      <c r="H23" s="7" t="n">
        <v>9660</v>
      </c>
      <c r="I23" s="7" t="n">
        <v>7072293</v>
      </c>
    </row>
    <row r="24">
      <c r="A24" s="5" t="inlineStr">
        <is>
          <t>취득</t>
        </is>
      </c>
      <c r="B24" s="7" t="n">
        <v>0</v>
      </c>
      <c r="C24" s="7" t="n">
        <v>0</v>
      </c>
      <c r="D24" s="7" t="n">
        <v>0</v>
      </c>
      <c r="E24" s="7" t="n">
        <v>11685</v>
      </c>
      <c r="F24" s="7" t="n">
        <v>84926</v>
      </c>
      <c r="G24" s="7" t="n">
        <v>0</v>
      </c>
      <c r="H24" s="7" t="n">
        <v>0</v>
      </c>
      <c r="I24" s="7" t="n">
        <v>96611</v>
      </c>
    </row>
    <row r="25">
      <c r="A25" s="5" t="inlineStr">
        <is>
          <t>처분</t>
        </is>
      </c>
      <c r="B25" s="7" t="n">
        <v>0</v>
      </c>
      <c r="C25" s="7" t="n">
        <v>0</v>
      </c>
      <c r="D25" s="7" t="n">
        <v>-5226</v>
      </c>
      <c r="E25" s="7" t="n">
        <v>0</v>
      </c>
      <c r="F25" s="7" t="n">
        <v>-1</v>
      </c>
      <c r="G25" s="7" t="n">
        <v>0</v>
      </c>
      <c r="H25" s="7" t="n">
        <v>0</v>
      </c>
      <c r="I25" s="7" t="n">
        <v>-5227</v>
      </c>
    </row>
    <row r="26">
      <c r="A26" s="5" t="inlineStr">
        <is>
          <t>감가상각</t>
        </is>
      </c>
      <c r="B26" s="7" t="n">
        <v>0</v>
      </c>
      <c r="C26" s="7" t="n">
        <v>-43075</v>
      </c>
      <c r="D26" s="7" t="n">
        <v>-653</v>
      </c>
      <c r="E26" s="7" t="n">
        <v>-26658</v>
      </c>
      <c r="F26" s="7" t="n">
        <v>-49001</v>
      </c>
      <c r="G26" s="7" t="n">
        <v>-177439</v>
      </c>
      <c r="H26" s="7" t="n">
        <v>-9657</v>
      </c>
      <c r="I26" s="7" t="n">
        <v>-306483</v>
      </c>
    </row>
    <row r="27">
      <c r="A27" s="8" t="inlineStr">
        <is>
          <t>기말금액</t>
        </is>
      </c>
      <c r="B27" s="9" t="n">
        <v>5232621</v>
      </c>
      <c r="C27" s="9" t="n">
        <v>1354095</v>
      </c>
      <c r="D27" s="9" t="n">
        <v>1</v>
      </c>
      <c r="E27" s="9" t="n">
        <v>22874</v>
      </c>
      <c r="F27" s="9" t="n">
        <v>131611</v>
      </c>
      <c r="G27" s="9" t="n">
        <v>115989</v>
      </c>
      <c r="H27" s="9" t="n">
        <v>3</v>
      </c>
      <c r="I27" s="9" t="n">
        <v>6857194</v>
      </c>
    </row>
    <row r="28">
      <c r="A28" s="2" t="inlineStr">
        <is>
          <t xml:space="preserve">  └ 푸팅검증: 기말금액(행 27) − Σ(행)</t>
        </is>
      </c>
      <c r="B28" s="17">
        <f>IF(ABS(B27-(SUM(B23:B26)))&lt;1.5,TRUE,B27-(SUM(B23:B26)))</f>
        <v/>
      </c>
      <c r="C28" s="17">
        <f>IF(ABS(C27-(SUM(C23:C26)))&lt;1.5,TRUE,C27-(SUM(C23:C26)))</f>
        <v/>
      </c>
      <c r="D28" s="17">
        <f>IF(ABS(D27-(SUM(D23:D26)))&lt;1.5,TRUE,D27-(SUM(D23:D26)))</f>
        <v/>
      </c>
      <c r="E28" s="17">
        <f>IF(ABS(E27-(SUM(E23:E26)))&lt;1.5,TRUE,E27-(SUM(E23:E26)))</f>
        <v/>
      </c>
      <c r="F28" s="17">
        <f>IF(ABS(F27-(SUM(F23:F26)))&lt;1.5,TRUE,F27-(SUM(F23:F26)))</f>
        <v/>
      </c>
      <c r="G28" s="17">
        <f>IF(ABS(G27-(SUM(G23:G26)))&lt;1.5,TRUE,G27-(SUM(G23:G26)))</f>
        <v/>
      </c>
      <c r="H28" s="17">
        <f>IF(ABS(H27-(SUM(H23:H26)))&lt;1.5,TRUE,H27-(SUM(H23:H26)))</f>
        <v/>
      </c>
      <c r="I28" s="17">
        <f>IF(ABS(I27-(SUM(I23:I26)))&lt;1.5,TRUE,I27-(SUM(I23:I26)))</f>
        <v/>
      </c>
    </row>
    <row r="30">
      <c r="A30" s="2" t="inlineStr">
        <is>
          <t>&lt;전기&gt;</t>
        </is>
      </c>
    </row>
    <row r="31">
      <c r="B31" s="2" t="inlineStr">
        <is>
          <t>(단위: 천원)</t>
        </is>
      </c>
    </row>
    <row r="32">
      <c r="A32" s="3" t="inlineStr">
        <is>
          <t>구 분</t>
        </is>
      </c>
      <c r="B32" s="3" t="inlineStr">
        <is>
          <t>토 지</t>
        </is>
      </c>
      <c r="C32" s="3" t="inlineStr">
        <is>
          <t>건 물</t>
        </is>
      </c>
      <c r="D32" s="3" t="inlineStr">
        <is>
          <t>차량운반구</t>
        </is>
      </c>
      <c r="E32" s="3" t="inlineStr">
        <is>
          <t>집기비품</t>
        </is>
      </c>
      <c r="F32" s="3" t="inlineStr">
        <is>
          <t>기계장치</t>
        </is>
      </c>
      <c r="G32" s="3" t="inlineStr">
        <is>
          <t>사용권자산</t>
        </is>
      </c>
      <c r="H32" s="3" t="inlineStr">
        <is>
          <t>구축물</t>
        </is>
      </c>
      <c r="I32" s="3" t="inlineStr">
        <is>
          <t>합 계</t>
        </is>
      </c>
    </row>
    <row r="33">
      <c r="A33" s="5" t="inlineStr">
        <is>
          <t>기초금액</t>
        </is>
      </c>
      <c r="B33" s="7" t="n">
        <v>5232007</v>
      </c>
      <c r="C33" s="7" t="n">
        <v>1325931</v>
      </c>
      <c r="D33" s="7" t="n">
        <v>9799</v>
      </c>
      <c r="E33" s="7" t="n">
        <v>55229</v>
      </c>
      <c r="F33" s="7" t="n">
        <v>78292</v>
      </c>
      <c r="G33" s="7" t="n">
        <v>142488</v>
      </c>
      <c r="H33" s="7" t="n">
        <v>27173</v>
      </c>
      <c r="I33" s="7" t="n">
        <v>6870919</v>
      </c>
    </row>
    <row r="34">
      <c r="A34" s="5" t="inlineStr">
        <is>
          <t>취득</t>
        </is>
      </c>
      <c r="B34" s="7" t="n">
        <v>614</v>
      </c>
      <c r="C34" s="7" t="n">
        <v>113076</v>
      </c>
      <c r="D34" s="7" t="n">
        <v>0</v>
      </c>
      <c r="E34" s="7" t="n">
        <v>10277</v>
      </c>
      <c r="F34" s="7" t="n">
        <v>71240</v>
      </c>
      <c r="G34" s="7" t="n">
        <v>327235</v>
      </c>
      <c r="H34" s="7" t="n">
        <v>0</v>
      </c>
      <c r="I34" s="7" t="n">
        <v>522442</v>
      </c>
    </row>
    <row r="35">
      <c r="A35" s="5" t="inlineStr">
        <is>
          <t>감가상각</t>
        </is>
      </c>
      <c r="B35" s="7" t="n">
        <v>0</v>
      </c>
      <c r="C35" s="7" t="n">
        <v>-41837</v>
      </c>
      <c r="D35" s="7" t="n">
        <v>-3919</v>
      </c>
      <c r="E35" s="7" t="n">
        <v>-27659</v>
      </c>
      <c r="F35" s="7" t="n">
        <v>-53845</v>
      </c>
      <c r="G35" s="7" t="n">
        <v>-176295</v>
      </c>
      <c r="H35" s="7" t="n">
        <v>-17513</v>
      </c>
      <c r="I35" s="7" t="n">
        <v>-321068</v>
      </c>
    </row>
    <row r="36">
      <c r="A36" s="8" t="inlineStr">
        <is>
          <t>기말금액</t>
        </is>
      </c>
      <c r="B36" s="9" t="n">
        <v>5232621</v>
      </c>
      <c r="C36" s="9" t="n">
        <v>1397170</v>
      </c>
      <c r="D36" s="9" t="n">
        <v>5880</v>
      </c>
      <c r="E36" s="9" t="n">
        <v>37847</v>
      </c>
      <c r="F36" s="9" t="n">
        <v>95687</v>
      </c>
      <c r="G36" s="9" t="n">
        <v>293428</v>
      </c>
      <c r="H36" s="9" t="n">
        <v>9660</v>
      </c>
      <c r="I36" s="9" t="n">
        <v>7072293</v>
      </c>
    </row>
    <row r="37">
      <c r="A37" s="2" t="inlineStr">
        <is>
          <t xml:space="preserve">  └ 푸팅검증: 기말금액(행 36) − Σ(행)</t>
        </is>
      </c>
      <c r="B37" s="17">
        <f>IF(ABS(B36-(SUM(B33:B35)))&lt;1.5,TRUE,B36-(SUM(B33:B35)))</f>
        <v/>
      </c>
      <c r="C37" s="17">
        <f>IF(ABS(C36-(SUM(C33:C35)))&lt;1.5,TRUE,C36-(SUM(C33:C35)))</f>
        <v/>
      </c>
      <c r="D37" s="17">
        <f>IF(ABS(D36-(SUM(D33:D35)))&lt;1.5,TRUE,D36-(SUM(D33:D35)))</f>
        <v/>
      </c>
      <c r="E37" s="17">
        <f>IF(ABS(E36-(SUM(E33:E35)))&lt;1.5,TRUE,E36-(SUM(E33:E35)))</f>
        <v/>
      </c>
      <c r="F37" s="17">
        <f>IF(ABS(F36-(SUM(F33:F35)))&lt;1.5,TRUE,F36-(SUM(F33:F35)))</f>
        <v/>
      </c>
      <c r="G37" s="17">
        <f>IF(ABS(G36-(SUM(G33:G35)))&lt;1.5,TRUE,G36-(SUM(G33:G35)))</f>
        <v/>
      </c>
      <c r="H37" s="17">
        <f>IF(ABS(H36-(SUM(H33:H35)))&lt;1.5,TRUE,H36-(SUM(H33:H35)))</f>
        <v/>
      </c>
      <c r="I37" s="17">
        <f>IF(ABS(I36-(SUM(I33:I35)))&lt;1.5,TRUE,I36-(SUM(I33:I35)))</f>
        <v/>
      </c>
    </row>
    <row r="39">
      <c r="A39" s="2" t="inlineStr">
        <is>
          <t>(3) 당기와 전기 중 발생한 감가상각비의 배부내역은 다음과 같습니다.</t>
        </is>
      </c>
    </row>
    <row r="40">
      <c r="B40" s="2" t="inlineStr">
        <is>
          <t>(단위: 천원)</t>
        </is>
      </c>
    </row>
    <row r="41">
      <c r="A41" s="3" t="inlineStr">
        <is>
          <t>구 분</t>
        </is>
      </c>
      <c r="B41" s="3" t="inlineStr">
        <is>
          <t>당 기</t>
        </is>
      </c>
      <c r="C41" s="3" t="inlineStr">
        <is>
          <t>전 기</t>
        </is>
      </c>
    </row>
    <row r="42">
      <c r="A42" s="5" t="inlineStr">
        <is>
          <t>매출원가</t>
        </is>
      </c>
      <c r="B42" s="7" t="n">
        <v>179780</v>
      </c>
      <c r="C42" s="7" t="n">
        <v>182558</v>
      </c>
    </row>
    <row r="43">
      <c r="A43" s="5" t="inlineStr">
        <is>
          <t>판매비와관리비</t>
        </is>
      </c>
      <c r="B43" s="7" t="n">
        <v>126703</v>
      </c>
      <c r="C43" s="7" t="n">
        <v>138510</v>
      </c>
    </row>
    <row r="44">
      <c r="A44" s="8" t="inlineStr">
        <is>
          <t>합 계</t>
        </is>
      </c>
      <c r="B44" s="9" t="n">
        <v>306483</v>
      </c>
      <c r="C44" s="9" t="n">
        <v>321068</v>
      </c>
    </row>
    <row r="45">
      <c r="A45" s="2" t="inlineStr">
        <is>
          <t xml:space="preserve">  └ 푸팅검증: 합 계(행 44) − Σ(행)</t>
        </is>
      </c>
      <c r="B45" s="17">
        <f>IF(ABS(B44-(SUM(B42:B43)))&lt;1.5,TRUE,B44-(SUM(B42:B43)))</f>
        <v/>
      </c>
      <c r="C45" s="17">
        <f>IF(ABS(C44-(SUM(C42:C43)))&lt;1.5,TRUE,C44-(SUM(C42:C43)))</f>
        <v/>
      </c>
    </row>
    <row r="47">
      <c r="A47" s="2" t="inlineStr">
        <is>
          <t>(4) 당사의 유형자산 중 일부는 보험에 가입되어 있습니다(주석 33 참조).</t>
        </is>
      </c>
    </row>
    <row r="49">
      <c r="A49" s="10" t="inlineStr">
        <is>
          <t>■ 크로스 참조</t>
        </is>
      </c>
    </row>
    <row r="50">
      <c r="A50" s="2" t="inlineStr">
        <is>
          <t>주13 유형자산 장부금액 합계 = BS 유형자산</t>
        </is>
      </c>
      <c r="B50" s="17">
        <f>IF(ABS(I9*1000-'BS'!B20)&lt;5000,TRUE,I9*1000-'BS'!B20)</f>
        <v/>
      </c>
      <c r="C50" s="2" t="inlineStr">
        <is>
          <t>→ BS!B20</t>
        </is>
      </c>
    </row>
  </sheetData>
  <conditionalFormatting sqref="B10">
    <cfRule type="expression" priority="1" dxfId="0">
      <formula>ISNUMBER(B10)</formula>
    </cfRule>
  </conditionalFormatting>
  <conditionalFormatting sqref="B18">
    <cfRule type="expression" priority="2" dxfId="0">
      <formula>ISNUMBER(B18)</formula>
    </cfRule>
  </conditionalFormatting>
  <conditionalFormatting sqref="B28">
    <cfRule type="expression" priority="3" dxfId="0">
      <formula>ISNUMBER(B28)</formula>
    </cfRule>
  </conditionalFormatting>
  <conditionalFormatting sqref="B37">
    <cfRule type="expression" priority="4" dxfId="0">
      <formula>ISNUMBER(B37)</formula>
    </cfRule>
  </conditionalFormatting>
  <conditionalFormatting sqref="B45">
    <cfRule type="expression" priority="5" dxfId="0">
      <formula>ISNUMBER(B45)</formula>
    </cfRule>
  </conditionalFormatting>
  <conditionalFormatting sqref="C10">
    <cfRule type="expression" priority="6" dxfId="0">
      <formula>ISNUMBER(C10)</formula>
    </cfRule>
  </conditionalFormatting>
  <conditionalFormatting sqref="C18">
    <cfRule type="expression" priority="7" dxfId="0">
      <formula>ISNUMBER(C18)</formula>
    </cfRule>
  </conditionalFormatting>
  <conditionalFormatting sqref="C28">
    <cfRule type="expression" priority="8" dxfId="0">
      <formula>ISNUMBER(C28)</formula>
    </cfRule>
  </conditionalFormatting>
  <conditionalFormatting sqref="C37">
    <cfRule type="expression" priority="9" dxfId="0">
      <formula>ISNUMBER(C37)</formula>
    </cfRule>
  </conditionalFormatting>
  <conditionalFormatting sqref="C45">
    <cfRule type="expression" priority="10" dxfId="0">
      <formula>ISNUMBER(C45)</formula>
    </cfRule>
  </conditionalFormatting>
  <conditionalFormatting sqref="D10">
    <cfRule type="expression" priority="11" dxfId="0">
      <formula>ISNUMBER(D10)</formula>
    </cfRule>
  </conditionalFormatting>
  <conditionalFormatting sqref="D18">
    <cfRule type="expression" priority="12" dxfId="0">
      <formula>ISNUMBER(D18)</formula>
    </cfRule>
  </conditionalFormatting>
  <conditionalFormatting sqref="D28">
    <cfRule type="expression" priority="13" dxfId="0">
      <formula>ISNUMBER(D28)</formula>
    </cfRule>
  </conditionalFormatting>
  <conditionalFormatting sqref="D37">
    <cfRule type="expression" priority="14" dxfId="0">
      <formula>ISNUMBER(D37)</formula>
    </cfRule>
  </conditionalFormatting>
  <conditionalFormatting sqref="E10">
    <cfRule type="expression" priority="15" dxfId="0">
      <formula>ISNUMBER(E10)</formula>
    </cfRule>
  </conditionalFormatting>
  <conditionalFormatting sqref="E18">
    <cfRule type="expression" priority="16" dxfId="0">
      <formula>ISNUMBER(E18)</formula>
    </cfRule>
  </conditionalFormatting>
  <conditionalFormatting sqref="E28">
    <cfRule type="expression" priority="17" dxfId="0">
      <formula>ISNUMBER(E28)</formula>
    </cfRule>
  </conditionalFormatting>
  <conditionalFormatting sqref="E37">
    <cfRule type="expression" priority="18" dxfId="0">
      <formula>ISNUMBER(E37)</formula>
    </cfRule>
  </conditionalFormatting>
  <conditionalFormatting sqref="F10">
    <cfRule type="expression" priority="19" dxfId="0">
      <formula>ISNUMBER(F10)</formula>
    </cfRule>
  </conditionalFormatting>
  <conditionalFormatting sqref="F18">
    <cfRule type="expression" priority="20" dxfId="0">
      <formula>ISNUMBER(F18)</formula>
    </cfRule>
  </conditionalFormatting>
  <conditionalFormatting sqref="F28">
    <cfRule type="expression" priority="21" dxfId="0">
      <formula>ISNUMBER(F28)</formula>
    </cfRule>
  </conditionalFormatting>
  <conditionalFormatting sqref="F37">
    <cfRule type="expression" priority="22" dxfId="0">
      <formula>ISNUMBER(F37)</formula>
    </cfRule>
  </conditionalFormatting>
  <conditionalFormatting sqref="G10">
    <cfRule type="expression" priority="23" dxfId="0">
      <formula>ISNUMBER(G10)</formula>
    </cfRule>
  </conditionalFormatting>
  <conditionalFormatting sqref="G18">
    <cfRule type="expression" priority="24" dxfId="0">
      <formula>ISNUMBER(G18)</formula>
    </cfRule>
  </conditionalFormatting>
  <conditionalFormatting sqref="G28">
    <cfRule type="expression" priority="25" dxfId="0">
      <formula>ISNUMBER(G28)</formula>
    </cfRule>
  </conditionalFormatting>
  <conditionalFormatting sqref="G37">
    <cfRule type="expression" priority="26" dxfId="0">
      <formula>ISNUMBER(G37)</formula>
    </cfRule>
  </conditionalFormatting>
  <conditionalFormatting sqref="H10">
    <cfRule type="expression" priority="27" dxfId="0">
      <formula>ISNUMBER(H10)</formula>
    </cfRule>
  </conditionalFormatting>
  <conditionalFormatting sqref="H18">
    <cfRule type="expression" priority="28" dxfId="0">
      <formula>ISNUMBER(H18)</formula>
    </cfRule>
  </conditionalFormatting>
  <conditionalFormatting sqref="H28">
    <cfRule type="expression" priority="29" dxfId="0">
      <formula>ISNUMBER(H28)</formula>
    </cfRule>
  </conditionalFormatting>
  <conditionalFormatting sqref="H37">
    <cfRule type="expression" priority="30" dxfId="0">
      <formula>ISNUMBER(H37)</formula>
    </cfRule>
  </conditionalFormatting>
  <conditionalFormatting sqref="I10">
    <cfRule type="expression" priority="31" dxfId="0">
      <formula>ISNUMBER(I10)</formula>
    </cfRule>
  </conditionalFormatting>
  <conditionalFormatting sqref="I18">
    <cfRule type="expression" priority="32" dxfId="0">
      <formula>ISNUMBER(I18)</formula>
    </cfRule>
  </conditionalFormatting>
  <conditionalFormatting sqref="I28">
    <cfRule type="expression" priority="33" dxfId="0">
      <formula>ISNUMBER(I28)</formula>
    </cfRule>
  </conditionalFormatting>
  <conditionalFormatting sqref="I37">
    <cfRule type="expression" priority="34" dxfId="0">
      <formula>ISNUMBER(I37)</formula>
    </cfRule>
  </conditionalFormatting>
  <conditionalFormatting sqref="B50">
    <cfRule type="expression" priority="35" dxfId="0">
      <formula>ISNUMBER(B50)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52"/>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22" customWidth="1" min="6" max="6"/>
    <col width="17" customWidth="1" min="7" max="7"/>
    <col width="17" customWidth="1" min="8" max="8"/>
    <col width="22" customWidth="1" min="9" max="9"/>
    <col width="17" customWidth="1" min="10" max="10"/>
    <col width="17" customWidth="1" min="11" max="11"/>
  </cols>
  <sheetData>
    <row r="1">
      <c r="A1" s="14" t="inlineStr">
        <is>
          <t>14. 리스</t>
        </is>
      </c>
      <c r="J1" s="15">
        <f>HYPERLINK("#총괄표!A1","◀ 총괄표")</f>
        <v/>
      </c>
    </row>
    <row r="3">
      <c r="A3" s="2" t="inlineStr">
        <is>
          <t>(1) 당기와 전기 중 사용권자산의 변동내역은 다음과 같습니다.&lt;당기&gt;</t>
        </is>
      </c>
    </row>
    <row r="4">
      <c r="B4" s="2" t="inlineStr">
        <is>
          <t>(단위: 천원)</t>
        </is>
      </c>
    </row>
    <row r="5">
      <c r="A5" s="3" t="inlineStr">
        <is>
          <t>구 분</t>
        </is>
      </c>
      <c r="B5" s="3" t="inlineStr">
        <is>
          <t>당기초</t>
        </is>
      </c>
      <c r="C5" s="3" t="inlineStr">
        <is>
          <t>증 가</t>
        </is>
      </c>
      <c r="D5" s="3" t="inlineStr">
        <is>
          <t>감가상각비</t>
        </is>
      </c>
      <c r="E5" s="3" t="inlineStr">
        <is>
          <t>당기말</t>
        </is>
      </c>
      <c r="F5" s="3" t="inlineStr">
        <is>
          <t>└ 행검증: 당기말 − (당기초 +증가 +감가상각비)</t>
        </is>
      </c>
    </row>
    <row r="6">
      <c r="A6" s="5" t="inlineStr">
        <is>
          <t>사용권자산</t>
        </is>
      </c>
      <c r="B6" s="4" t="inlineStr"/>
      <c r="C6" s="4" t="inlineStr"/>
      <c r="D6" s="4" t="inlineStr"/>
      <c r="E6" s="4" t="inlineStr"/>
    </row>
    <row r="7">
      <c r="A7" s="5" t="inlineStr">
        <is>
          <t>부동산</t>
        </is>
      </c>
      <c r="B7" s="7" t="n">
        <v>272696</v>
      </c>
      <c r="C7" s="7" t="n">
        <v>0</v>
      </c>
      <c r="D7" s="7" t="n">
        <v>-163618</v>
      </c>
      <c r="E7" s="7" t="n">
        <v>109078</v>
      </c>
      <c r="F7" s="17">
        <f>IF(ABS(E7-(B7+C7+D7))&lt;1.5,TRUE,E7-(B7+C7+D7))</f>
        <v/>
      </c>
    </row>
    <row r="8">
      <c r="A8" s="5" t="inlineStr">
        <is>
          <t>차량운반구</t>
        </is>
      </c>
      <c r="B8" s="7" t="n">
        <v>20732</v>
      </c>
      <c r="C8" s="7" t="n">
        <v>0</v>
      </c>
      <c r="D8" s="7" t="n">
        <v>-13821</v>
      </c>
      <c r="E8" s="7" t="n">
        <v>6911</v>
      </c>
      <c r="F8" s="17">
        <f>IF(ABS(E8-(B8+C8+D8))&lt;1.5,TRUE,E8-(B8+C8+D8))</f>
        <v/>
      </c>
    </row>
    <row r="9">
      <c r="A9" s="8" t="inlineStr">
        <is>
          <t>합 계</t>
        </is>
      </c>
      <c r="B9" s="9" t="n">
        <v>293428</v>
      </c>
      <c r="C9" s="9" t="n">
        <v>0</v>
      </c>
      <c r="D9" s="9" t="n">
        <v>-177439</v>
      </c>
      <c r="E9" s="9" t="n">
        <v>115989</v>
      </c>
      <c r="F9" s="17">
        <f>IF(ABS(E9-(B9+C9+D9))&lt;1.5,TRUE,E9-(B9+C9+D9))</f>
        <v/>
      </c>
    </row>
    <row r="10">
      <c r="A10" s="2" t="inlineStr">
        <is>
          <t xml:space="preserve">  └ 푸팅검증: 합 계(행 9) − Σ(행)</t>
        </is>
      </c>
      <c r="B10" s="17">
        <f>IF(ABS(B9-(SUM(B7:B8)))&lt;1.5,TRUE,B9-(SUM(B7:B8)))</f>
        <v/>
      </c>
      <c r="D10" s="17">
        <f>IF(ABS(D9-(SUM(D7:D8)))&lt;1.5,TRUE,D9-(SUM(D7:D8)))</f>
        <v/>
      </c>
      <c r="E10" s="17">
        <f>IF(ABS(E9-(SUM(E7:E8)))&lt;1.5,TRUE,E9-(SUM(E7:E8)))</f>
        <v/>
      </c>
    </row>
    <row r="12">
      <c r="A12" s="2" t="inlineStr">
        <is>
          <t>&lt;전기&gt;</t>
        </is>
      </c>
    </row>
    <row r="13">
      <c r="B13" s="2" t="inlineStr">
        <is>
          <t>(단위: 천원)</t>
        </is>
      </c>
    </row>
    <row r="14">
      <c r="A14" s="3" t="inlineStr">
        <is>
          <t>구 분</t>
        </is>
      </c>
      <c r="B14" s="3" t="inlineStr">
        <is>
          <t>전기초</t>
        </is>
      </c>
      <c r="C14" s="3" t="inlineStr">
        <is>
          <t>증 가</t>
        </is>
      </c>
      <c r="D14" s="3" t="inlineStr">
        <is>
          <t>감가상각비</t>
        </is>
      </c>
      <c r="E14" s="3" t="inlineStr">
        <is>
          <t>전기말</t>
        </is>
      </c>
      <c r="F14" s="3" t="inlineStr">
        <is>
          <t>└ 행검증: 전기말 − (전기초 +증가 +감가상각비)</t>
        </is>
      </c>
    </row>
    <row r="15">
      <c r="A15" s="5" t="inlineStr">
        <is>
          <t>사용권자산</t>
        </is>
      </c>
      <c r="B15" s="4" t="inlineStr"/>
      <c r="C15" s="4" t="inlineStr"/>
      <c r="D15" s="4" t="inlineStr"/>
      <c r="E15" s="4" t="inlineStr"/>
    </row>
    <row r="16">
      <c r="A16" s="5" t="inlineStr">
        <is>
          <t>부동산</t>
        </is>
      </c>
      <c r="B16" s="7" t="n">
        <v>107934</v>
      </c>
      <c r="C16" s="7" t="n">
        <v>327235</v>
      </c>
      <c r="D16" s="7" t="n">
        <v>-162473</v>
      </c>
      <c r="E16" s="7" t="n">
        <v>272696</v>
      </c>
      <c r="F16" s="17">
        <f>IF(ABS(E16-(B16+C16+D16))&lt;1.5,TRUE,E16-(B16+C16+D16))</f>
        <v/>
      </c>
    </row>
    <row r="17">
      <c r="A17" s="5" t="inlineStr">
        <is>
          <t>차량운반구</t>
        </is>
      </c>
      <c r="B17" s="7" t="n">
        <v>34554</v>
      </c>
      <c r="C17" s="7" t="n">
        <v>0</v>
      </c>
      <c r="D17" s="7" t="n">
        <v>-13822</v>
      </c>
      <c r="E17" s="7" t="n">
        <v>20732</v>
      </c>
      <c r="F17" s="17">
        <f>IF(ABS(E17-(B17+C17+D17))&lt;1.5,TRUE,E17-(B17+C17+D17))</f>
        <v/>
      </c>
    </row>
    <row r="18">
      <c r="A18" s="8" t="inlineStr">
        <is>
          <t>합 계</t>
        </is>
      </c>
      <c r="B18" s="9" t="n">
        <v>142488</v>
      </c>
      <c r="C18" s="9" t="n">
        <v>327235</v>
      </c>
      <c r="D18" s="9" t="n">
        <v>-176295</v>
      </c>
      <c r="E18" s="9" t="n">
        <v>293428</v>
      </c>
      <c r="F18" s="17">
        <f>IF(ABS(E18-(B18+C18+D18))&lt;1.5,TRUE,E18-(B18+C18+D18))</f>
        <v/>
      </c>
    </row>
    <row r="19">
      <c r="A19" s="2" t="inlineStr">
        <is>
          <t xml:space="preserve">  └ 푸팅검증: 합 계(행 18) − Σ(행)</t>
        </is>
      </c>
      <c r="B19" s="17">
        <f>IF(ABS(B18-(SUM(B16:B17)))&lt;1.5,TRUE,B18-(SUM(B16:B17)))</f>
        <v/>
      </c>
      <c r="C19" s="17">
        <f>IF(ABS(C18-(SUM(C16:C17)))&lt;1.5,TRUE,C18-(SUM(C16:C17)))</f>
        <v/>
      </c>
      <c r="D19" s="17">
        <f>IF(ABS(D18-(SUM(D16:D17)))&lt;1.5,TRUE,D18-(SUM(D16:D17)))</f>
        <v/>
      </c>
      <c r="E19" s="17">
        <f>IF(ABS(E18-(SUM(E16:E17)))&lt;1.5,TRUE,E18-(SUM(E16:E17)))</f>
        <v/>
      </c>
    </row>
    <row r="21">
      <c r="A21" s="2" t="inlineStr">
        <is>
          <t>(2) 당기와 전기 중 리스부채의 변동내역은 다음과 같습니다.&lt;당기&gt;</t>
        </is>
      </c>
    </row>
    <row r="22">
      <c r="B22" s="2" t="inlineStr">
        <is>
          <t>(단위: 천원)</t>
        </is>
      </c>
    </row>
    <row r="23">
      <c r="A23" s="3" t="inlineStr">
        <is>
          <t>구 분</t>
        </is>
      </c>
      <c r="B23" s="3" t="inlineStr">
        <is>
          <t>당기초</t>
        </is>
      </c>
      <c r="C23" s="3" t="inlineStr">
        <is>
          <t>증 가</t>
        </is>
      </c>
      <c r="D23" s="3" t="inlineStr">
        <is>
          <t>상환금액</t>
        </is>
      </c>
      <c r="E23" s="3" t="inlineStr">
        <is>
          <t>이자비용</t>
        </is>
      </c>
      <c r="F23" s="3" t="inlineStr">
        <is>
          <t>당기말</t>
        </is>
      </c>
      <c r="G23" s="3" t="inlineStr">
        <is>
          <t>유 동</t>
        </is>
      </c>
      <c r="H23" s="3" t="inlineStr">
        <is>
          <t>비유동</t>
        </is>
      </c>
      <c r="I23" s="3" t="inlineStr">
        <is>
          <t>└ 행검증: 당기말 − (당기초 +증가 +상환금액 +이자비용)</t>
        </is>
      </c>
    </row>
    <row r="24">
      <c r="A24" s="5" t="inlineStr">
        <is>
          <t>리스부채</t>
        </is>
      </c>
      <c r="B24" s="4" t="inlineStr"/>
      <c r="C24" s="4" t="inlineStr"/>
      <c r="D24" s="4" t="inlineStr"/>
      <c r="E24" s="4" t="inlineStr"/>
      <c r="F24" s="4" t="inlineStr"/>
      <c r="G24" s="4" t="inlineStr"/>
      <c r="H24" s="4" t="inlineStr"/>
    </row>
    <row r="25">
      <c r="A25" s="5" t="inlineStr">
        <is>
          <t>부동산</t>
        </is>
      </c>
      <c r="B25" s="7" t="n">
        <v>274391</v>
      </c>
      <c r="C25" s="7" t="n">
        <v>0</v>
      </c>
      <c r="D25" s="7" t="n">
        <v>-170113</v>
      </c>
      <c r="E25" s="7" t="n">
        <v>7546</v>
      </c>
      <c r="F25" s="7" t="n">
        <v>111824</v>
      </c>
      <c r="G25" s="7" t="n">
        <v>111824</v>
      </c>
      <c r="H25" s="7" t="n">
        <v>0</v>
      </c>
      <c r="I25" s="17">
        <f>IF(ABS(F25-(B25+C25+D25+E25))&lt;1.5,TRUE,F25-(B25+C25+D25+E25))</f>
        <v/>
      </c>
    </row>
    <row r="26">
      <c r="A26" s="5" t="inlineStr">
        <is>
          <t>차량운반구</t>
        </is>
      </c>
      <c r="B26" s="7" t="n">
        <v>21896</v>
      </c>
      <c r="C26" s="7" t="n">
        <v>0</v>
      </c>
      <c r="D26" s="7" t="n">
        <v>-15120</v>
      </c>
      <c r="E26" s="7" t="n">
        <v>686</v>
      </c>
      <c r="F26" s="7" t="n">
        <v>7462</v>
      </c>
      <c r="G26" s="7" t="n">
        <v>7462</v>
      </c>
      <c r="H26" s="7" t="n">
        <v>0</v>
      </c>
      <c r="I26" s="17">
        <f>IF(ABS(F26-(B26+C26+D26+E26))&lt;1.5,TRUE,F26-(B26+C26+D26+E26))</f>
        <v/>
      </c>
    </row>
    <row r="27">
      <c r="A27" s="8" t="inlineStr">
        <is>
          <t>합 계</t>
        </is>
      </c>
      <c r="B27" s="9" t="n">
        <v>296287</v>
      </c>
      <c r="C27" s="9" t="n">
        <v>0</v>
      </c>
      <c r="D27" s="9" t="n">
        <v>-185233</v>
      </c>
      <c r="E27" s="9" t="n">
        <v>8232</v>
      </c>
      <c r="F27" s="9" t="n">
        <v>119286</v>
      </c>
      <c r="G27" s="9" t="n">
        <v>119286</v>
      </c>
      <c r="H27" s="9" t="n">
        <v>0</v>
      </c>
      <c r="I27" s="17">
        <f>IF(ABS(F27-(B27+C27+D27+E27))&lt;1.5,TRUE,F27-(B27+C27+D27+E27))</f>
        <v/>
      </c>
    </row>
    <row r="28">
      <c r="A28" s="2" t="inlineStr">
        <is>
          <t xml:space="preserve">  └ 푸팅검증: 합 계(행 27) − Σ(행)</t>
        </is>
      </c>
      <c r="B28" s="17">
        <f>IF(ABS(B27-(SUM(B25:B26)))&lt;1.5,TRUE,B27-(SUM(B25:B26)))</f>
        <v/>
      </c>
      <c r="D28" s="17">
        <f>IF(ABS(D27-(SUM(D25:D26)))&lt;1.5,TRUE,D27-(SUM(D25:D26)))</f>
        <v/>
      </c>
      <c r="E28" s="17">
        <f>IF(ABS(E27-(SUM(E25:E26)))&lt;1.5,TRUE,E27-(SUM(E25:E26)))</f>
        <v/>
      </c>
      <c r="F28" s="17">
        <f>IF(ABS(F27-(SUM(F25:F26)))&lt;1.5,TRUE,F27-(SUM(F25:F26)))</f>
        <v/>
      </c>
      <c r="G28" s="17">
        <f>IF(ABS(G27-(SUM(G25:G26)))&lt;1.5,TRUE,G27-(SUM(G25:G26)))</f>
        <v/>
      </c>
    </row>
    <row r="30">
      <c r="A30" s="2" t="inlineStr">
        <is>
          <t>&lt;전기&gt;</t>
        </is>
      </c>
    </row>
    <row r="31">
      <c r="B31" s="2" t="inlineStr">
        <is>
          <t>(단위: 천원)</t>
        </is>
      </c>
    </row>
    <row r="32">
      <c r="A32" s="3" t="inlineStr">
        <is>
          <t>구 분</t>
        </is>
      </c>
      <c r="B32" s="3" t="inlineStr">
        <is>
          <t>전기초</t>
        </is>
      </c>
      <c r="C32" s="3" t="inlineStr">
        <is>
          <t>증 가</t>
        </is>
      </c>
      <c r="D32" s="3" t="inlineStr">
        <is>
          <t>상환금액</t>
        </is>
      </c>
      <c r="E32" s="3" t="inlineStr">
        <is>
          <t>이자비용</t>
        </is>
      </c>
      <c r="F32" s="3" t="inlineStr">
        <is>
          <t>전기말</t>
        </is>
      </c>
      <c r="G32" s="3" t="inlineStr">
        <is>
          <t>유 동</t>
        </is>
      </c>
      <c r="H32" s="3" t="inlineStr">
        <is>
          <t>비유동</t>
        </is>
      </c>
      <c r="I32" s="3" t="inlineStr">
        <is>
          <t>└ 행검증: 전기말 − (전기초 +증가 +상환금액 +이자비용)</t>
        </is>
      </c>
    </row>
    <row r="33">
      <c r="A33" s="5" t="inlineStr">
        <is>
          <t>리스부채</t>
        </is>
      </c>
      <c r="B33" s="4" t="inlineStr"/>
      <c r="C33" s="4" t="inlineStr"/>
      <c r="D33" s="4" t="inlineStr"/>
      <c r="E33" s="4" t="inlineStr"/>
      <c r="F33" s="4" t="inlineStr"/>
      <c r="G33" s="4" t="inlineStr"/>
      <c r="H33" s="4" t="inlineStr"/>
    </row>
    <row r="34">
      <c r="A34" s="5" t="inlineStr">
        <is>
          <t>부동산</t>
        </is>
      </c>
      <c r="B34" s="7" t="n">
        <v>111396</v>
      </c>
      <c r="C34" s="7" t="n">
        <v>327235</v>
      </c>
      <c r="D34" s="7" t="n">
        <v>-170113</v>
      </c>
      <c r="E34" s="7" t="n">
        <v>5873</v>
      </c>
      <c r="F34" s="7" t="n">
        <v>274391</v>
      </c>
      <c r="G34" s="7" t="n">
        <v>162567</v>
      </c>
      <c r="H34" s="7" t="n">
        <v>111824</v>
      </c>
      <c r="I34" s="17">
        <f>IF(ABS(F34-(B34+C34+D34+E34))&lt;1.5,TRUE,F34-(B34+C34+D34+E34))</f>
        <v/>
      </c>
    </row>
    <row r="35">
      <c r="A35" s="5" t="inlineStr">
        <is>
          <t>차량운반구</t>
        </is>
      </c>
      <c r="B35" s="7" t="n">
        <v>35701</v>
      </c>
      <c r="C35" s="7" t="n">
        <v>0</v>
      </c>
      <c r="D35" s="7" t="n">
        <v>-15120</v>
      </c>
      <c r="E35" s="7" t="n">
        <v>1315</v>
      </c>
      <c r="F35" s="7" t="n">
        <v>21896</v>
      </c>
      <c r="G35" s="7" t="n">
        <v>14434</v>
      </c>
      <c r="H35" s="7" t="n">
        <v>7462</v>
      </c>
      <c r="I35" s="17">
        <f>IF(ABS(F35-(B35+C35+D35+E35))&lt;1.5,TRUE,F35-(B35+C35+D35+E35))</f>
        <v/>
      </c>
    </row>
    <row r="36">
      <c r="A36" s="8" t="inlineStr">
        <is>
          <t>합 계</t>
        </is>
      </c>
      <c r="B36" s="9" t="n">
        <v>147097</v>
      </c>
      <c r="C36" s="9" t="n">
        <v>327235</v>
      </c>
      <c r="D36" s="9" t="n">
        <v>-185233</v>
      </c>
      <c r="E36" s="9" t="n">
        <v>7188</v>
      </c>
      <c r="F36" s="9" t="n">
        <v>296287</v>
      </c>
      <c r="G36" s="9" t="n">
        <v>177001</v>
      </c>
      <c r="H36" s="9" t="n">
        <v>119286</v>
      </c>
      <c r="I36" s="17">
        <f>IF(ABS(F36-(B36+C36+D36+E36))&lt;1.5,TRUE,F36-(B36+C36+D36+E36))</f>
        <v/>
      </c>
    </row>
    <row r="37">
      <c r="A37" s="2" t="inlineStr">
        <is>
          <t xml:space="preserve">  └ 푸팅검증: 합 계(행 36) − Σ(행)</t>
        </is>
      </c>
      <c r="B37" s="17">
        <f>IF(ABS(B36-(SUM(B34:B35)))&lt;1.5,TRUE,B36-(SUM(B34:B35)))</f>
        <v/>
      </c>
      <c r="C37" s="17">
        <f>IF(ABS(C36-(SUM(C34:C35)))&lt;1.5,TRUE,C36-(SUM(C34:C35)))</f>
        <v/>
      </c>
      <c r="D37" s="17">
        <f>IF(ABS(D36-(SUM(D34:D35)))&lt;1.5,TRUE,D36-(SUM(D34:D35)))</f>
        <v/>
      </c>
      <c r="E37" s="17">
        <f>IF(ABS(E36-(SUM(E34:E35)))&lt;1.5,TRUE,E36-(SUM(E34:E35)))</f>
        <v/>
      </c>
      <c r="F37" s="17">
        <f>IF(ABS(F36-(SUM(F34:F35)))&lt;1.5,TRUE,F36-(SUM(F34:F35)))</f>
        <v/>
      </c>
      <c r="G37" s="17">
        <f>IF(ABS(G36-(SUM(G34:G35)))&lt;1.5,TRUE,G36-(SUM(G34:G35)))</f>
        <v/>
      </c>
      <c r="H37" s="17">
        <f>IF(ABS(H36-(SUM(H34:H35)))&lt;1.5,TRUE,H36-(SUM(H34:H35)))</f>
        <v/>
      </c>
    </row>
    <row r="39">
      <c r="A39" s="2" t="inlineStr">
        <is>
          <t>(3) 당기와 전기 중 리스와 관련하여 손익으로 인식한 금액은 다음과 같습니다.</t>
        </is>
      </c>
    </row>
    <row r="40">
      <c r="B40" s="2" t="inlineStr">
        <is>
          <t>(단위: 천원)</t>
        </is>
      </c>
    </row>
    <row r="41">
      <c r="A41" s="3" t="inlineStr">
        <is>
          <t>구 분</t>
        </is>
      </c>
      <c r="B41" s="3" t="inlineStr">
        <is>
          <t>당 기</t>
        </is>
      </c>
      <c r="C41" s="3" t="inlineStr">
        <is>
          <t>전 기</t>
        </is>
      </c>
    </row>
    <row r="42">
      <c r="A42" s="5" t="inlineStr">
        <is>
          <t>사용권자산 감가상각비</t>
        </is>
      </c>
      <c r="B42" s="7" t="n">
        <v>177439</v>
      </c>
      <c r="C42" s="7" t="n">
        <v>176295</v>
      </c>
    </row>
    <row r="43">
      <c r="A43" s="5" t="inlineStr">
        <is>
          <t>리스부채에 대한 이자비용</t>
        </is>
      </c>
      <c r="B43" s="7" t="n">
        <v>8232</v>
      </c>
      <c r="C43" s="7" t="n">
        <v>7188</v>
      </c>
    </row>
    <row r="44">
      <c r="A44" s="5" t="inlineStr">
        <is>
          <t>단기리스에 관한 비용</t>
        </is>
      </c>
      <c r="B44" s="7" t="n">
        <v>360</v>
      </c>
      <c r="C44" s="7" t="n">
        <v>360</v>
      </c>
    </row>
    <row r="45">
      <c r="A45" s="5" t="inlineStr">
        <is>
          <t>소액자산 리스에 관한 비용</t>
        </is>
      </c>
      <c r="B45" s="7" t="n">
        <v>9574</v>
      </c>
      <c r="C45" s="7" t="n">
        <v>13055</v>
      </c>
    </row>
    <row r="46">
      <c r="A46" s="8" t="inlineStr">
        <is>
          <t>합 계</t>
        </is>
      </c>
      <c r="B46" s="9" t="n">
        <v>195605</v>
      </c>
      <c r="C46" s="9" t="n">
        <v>196898</v>
      </c>
    </row>
    <row r="47">
      <c r="A47" s="2" t="inlineStr">
        <is>
          <t xml:space="preserve">  └ 푸팅검증: 합 계(행 46) − Σ(행)</t>
        </is>
      </c>
      <c r="B47" s="17">
        <f>IF(ABS(B46-(SUM(B42:B45)))&lt;1.5,TRUE,B46-(SUM(B42:B45)))</f>
        <v/>
      </c>
      <c r="C47" s="17">
        <f>IF(ABS(C46-(SUM(C42:C45)))&lt;1.5,TRUE,C46-(SUM(C42:C45)))</f>
        <v/>
      </c>
    </row>
    <row r="49">
      <c r="A49" s="2" t="inlineStr">
        <is>
          <t>(4) 당기 중 리스의 총 현금유출은 195,167천원(전기: 198,648천원)입니다.</t>
        </is>
      </c>
    </row>
    <row r="51">
      <c r="A51" s="10" t="inlineStr">
        <is>
          <t>■ 크로스 참조</t>
        </is>
      </c>
    </row>
    <row r="52">
      <c r="A52" s="2" t="inlineStr">
        <is>
          <t>주14 리스부채 합계(유동) = BS 리스부채</t>
        </is>
      </c>
      <c r="B52" s="17">
        <f>IF(ABS(G27*1000-'BS'!B30)&lt;5000,TRUE,G27*1000-'BS'!B30)</f>
        <v/>
      </c>
      <c r="C52" s="2" t="inlineStr">
        <is>
          <t>→ BS!B30</t>
        </is>
      </c>
    </row>
  </sheetData>
  <conditionalFormatting sqref="B10">
    <cfRule type="expression" priority="1" dxfId="0">
      <formula>ISNUMBER(B10)</formula>
    </cfRule>
  </conditionalFormatting>
  <conditionalFormatting sqref="B19">
    <cfRule type="expression" priority="2" dxfId="0">
      <formula>ISNUMBER(B19)</formula>
    </cfRule>
  </conditionalFormatting>
  <conditionalFormatting sqref="B28">
    <cfRule type="expression" priority="3" dxfId="0">
      <formula>ISNUMBER(B28)</formula>
    </cfRule>
  </conditionalFormatting>
  <conditionalFormatting sqref="B37">
    <cfRule type="expression" priority="4" dxfId="0">
      <formula>ISNUMBER(B37)</formula>
    </cfRule>
  </conditionalFormatting>
  <conditionalFormatting sqref="B47">
    <cfRule type="expression" priority="5" dxfId="0">
      <formula>ISNUMBER(B47)</formula>
    </cfRule>
  </conditionalFormatting>
  <conditionalFormatting sqref="C19">
    <cfRule type="expression" priority="6" dxfId="0">
      <formula>ISNUMBER(C19)</formula>
    </cfRule>
  </conditionalFormatting>
  <conditionalFormatting sqref="C37">
    <cfRule type="expression" priority="7" dxfId="0">
      <formula>ISNUMBER(C37)</formula>
    </cfRule>
  </conditionalFormatting>
  <conditionalFormatting sqref="C47">
    <cfRule type="expression" priority="8" dxfId="0">
      <formula>ISNUMBER(C47)</formula>
    </cfRule>
  </conditionalFormatting>
  <conditionalFormatting sqref="D10">
    <cfRule type="expression" priority="9" dxfId="0">
      <formula>ISNUMBER(D10)</formula>
    </cfRule>
  </conditionalFormatting>
  <conditionalFormatting sqref="D19">
    <cfRule type="expression" priority="10" dxfId="0">
      <formula>ISNUMBER(D19)</formula>
    </cfRule>
  </conditionalFormatting>
  <conditionalFormatting sqref="D28">
    <cfRule type="expression" priority="11" dxfId="0">
      <formula>ISNUMBER(D28)</formula>
    </cfRule>
  </conditionalFormatting>
  <conditionalFormatting sqref="D37">
    <cfRule type="expression" priority="12" dxfId="0">
      <formula>ISNUMBER(D37)</formula>
    </cfRule>
  </conditionalFormatting>
  <conditionalFormatting sqref="E10">
    <cfRule type="expression" priority="13" dxfId="0">
      <formula>ISNUMBER(E10)</formula>
    </cfRule>
  </conditionalFormatting>
  <conditionalFormatting sqref="E19">
    <cfRule type="expression" priority="14" dxfId="0">
      <formula>ISNUMBER(E19)</formula>
    </cfRule>
  </conditionalFormatting>
  <conditionalFormatting sqref="E28">
    <cfRule type="expression" priority="15" dxfId="0">
      <formula>ISNUMBER(E28)</formula>
    </cfRule>
  </conditionalFormatting>
  <conditionalFormatting sqref="E37">
    <cfRule type="expression" priority="16" dxfId="0">
      <formula>ISNUMBER(E37)</formula>
    </cfRule>
  </conditionalFormatting>
  <conditionalFormatting sqref="F7:F9">
    <cfRule type="expression" priority="17" dxfId="0">
      <formula>ISNUMBER(F7)</formula>
    </cfRule>
  </conditionalFormatting>
  <conditionalFormatting sqref="F16:F18">
    <cfRule type="expression" priority="18" dxfId="0">
      <formula>ISNUMBER(F16)</formula>
    </cfRule>
  </conditionalFormatting>
  <conditionalFormatting sqref="F28">
    <cfRule type="expression" priority="19" dxfId="0">
      <formula>ISNUMBER(F28)</formula>
    </cfRule>
  </conditionalFormatting>
  <conditionalFormatting sqref="F37">
    <cfRule type="expression" priority="20" dxfId="0">
      <formula>ISNUMBER(F37)</formula>
    </cfRule>
  </conditionalFormatting>
  <conditionalFormatting sqref="G28">
    <cfRule type="expression" priority="21" dxfId="0">
      <formula>ISNUMBER(G28)</formula>
    </cfRule>
  </conditionalFormatting>
  <conditionalFormatting sqref="G37">
    <cfRule type="expression" priority="22" dxfId="0">
      <formula>ISNUMBER(G37)</formula>
    </cfRule>
  </conditionalFormatting>
  <conditionalFormatting sqref="H37">
    <cfRule type="expression" priority="23" dxfId="0">
      <formula>ISNUMBER(H37)</formula>
    </cfRule>
  </conditionalFormatting>
  <conditionalFormatting sqref="I25:I27">
    <cfRule type="expression" priority="24" dxfId="0">
      <formula>ISNUMBER(I25)</formula>
    </cfRule>
  </conditionalFormatting>
  <conditionalFormatting sqref="I34:I36">
    <cfRule type="expression" priority="25" dxfId="0">
      <formula>ISNUMBER(I34)</formula>
    </cfRule>
  </conditionalFormatting>
  <conditionalFormatting sqref="B52">
    <cfRule type="expression" priority="26" dxfId="0">
      <formula>ISNUMBER(B52)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4"/>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15. 무형자산</t>
        </is>
      </c>
      <c r="J1" s="15">
        <f>HYPERLINK("#총괄표!A1","◀ 총괄표")</f>
        <v/>
      </c>
    </row>
    <row r="3">
      <c r="A3" s="2" t="inlineStr">
        <is>
          <t>당사의 무형자산은 회원권으로 구성되어 있으며, 당기말과 전기말 현재 무형자산의 장부금액의 구성내역은 다음과 같습니다.</t>
        </is>
      </c>
    </row>
    <row r="4">
      <c r="B4" s="2" t="inlineStr">
        <is>
          <t>(단위: 천원)</t>
        </is>
      </c>
    </row>
    <row r="5">
      <c r="A5" s="3" t="inlineStr">
        <is>
          <t>구 분</t>
        </is>
      </c>
      <c r="B5" s="3" t="inlineStr">
        <is>
          <t>당기말</t>
        </is>
      </c>
      <c r="C5" s="3" t="inlineStr">
        <is>
          <t>전기말</t>
        </is>
      </c>
    </row>
    <row r="6">
      <c r="A6" s="5" t="inlineStr">
        <is>
          <t>취득원가</t>
        </is>
      </c>
      <c r="B6" s="7" t="n">
        <v>684002</v>
      </c>
      <c r="C6" s="7" t="n">
        <v>684002</v>
      </c>
    </row>
    <row r="7">
      <c r="A7" s="5" t="inlineStr">
        <is>
          <t>손상차손누계액(*)</t>
        </is>
      </c>
      <c r="B7" s="7" t="n">
        <v>-287865</v>
      </c>
      <c r="C7" s="7" t="n">
        <v>-287865</v>
      </c>
    </row>
    <row r="8">
      <c r="A8" s="8" t="inlineStr">
        <is>
          <t>장부금액</t>
        </is>
      </c>
      <c r="B8" s="9" t="n">
        <v>396137</v>
      </c>
      <c r="C8" s="9" t="n">
        <v>396137</v>
      </c>
    </row>
    <row r="9">
      <c r="A9" s="2" t="inlineStr">
        <is>
          <t xml:space="preserve">  └ 푸팅검증: 장부금액(행 8) − Σ(행)</t>
        </is>
      </c>
      <c r="B9" s="17">
        <f>IF(ABS(B8-(SUM(B6:B7)))&lt;1.5,TRUE,B8-(SUM(B6:B7)))</f>
        <v/>
      </c>
      <c r="C9" s="17">
        <f>IF(ABS(C8-(SUM(C6:C7)))&lt;1.5,TRUE,C8-(SUM(C6:C7)))</f>
        <v/>
      </c>
    </row>
    <row r="11">
      <c r="A11" s="2" t="inlineStr">
        <is>
          <t>(*) 당사는 전기 중 회원권에 대해 회수가능액을 평가하여 손상차손환입 240,000천원을 영업외수익으로 인식하였습니다.당사는 회원권에 대해서 비한정 내용연수를 가진 무형자산으로 분류하고 매년 손상여부를 검토하고 있습니다.</t>
        </is>
      </c>
    </row>
    <row r="13">
      <c r="A13" s="10" t="inlineStr">
        <is>
          <t>■ 크로스 참조</t>
        </is>
      </c>
    </row>
    <row r="14">
      <c r="A14" s="2" t="inlineStr">
        <is>
          <t>주15 무형자산 장부금액 = BS 무형자산</t>
        </is>
      </c>
      <c r="B14" s="17">
        <f>IF(ABS(B8*1000-'BS'!B21)&lt;5000,TRUE,B8*1000-'BS'!B21)</f>
        <v/>
      </c>
      <c r="C14" s="2" t="inlineStr">
        <is>
          <t>→ BS!B21</t>
        </is>
      </c>
    </row>
  </sheetData>
  <conditionalFormatting sqref="B9">
    <cfRule type="expression" priority="1" dxfId="0">
      <formula>ISNUMBER(B9)</formula>
    </cfRule>
  </conditionalFormatting>
  <conditionalFormatting sqref="C9">
    <cfRule type="expression" priority="2" dxfId="0">
      <formula>ISNUMBER(C9)</formula>
    </cfRule>
  </conditionalFormatting>
  <conditionalFormatting sqref="B14">
    <cfRule type="expression" priority="3" dxfId="0">
      <formula>ISNUMBER(B14)</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8"/>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16. 매입채무 및 기타지급채무</t>
        </is>
      </c>
      <c r="J1" s="15">
        <f>HYPERLINK("#총괄표!A1","◀ 총괄표")</f>
        <v/>
      </c>
    </row>
    <row r="3">
      <c r="A3" s="2" t="inlineStr">
        <is>
          <t>당기말과 전기말 현재 매입채무 및 기타지급채무의 내역은 다음과 같습니다.</t>
        </is>
      </c>
    </row>
    <row r="4">
      <c r="B4" s="2" t="inlineStr">
        <is>
          <t>(단위: 천원)</t>
        </is>
      </c>
    </row>
    <row r="5">
      <c r="A5" s="3" t="inlineStr">
        <is>
          <t>구 분</t>
        </is>
      </c>
      <c r="B5" s="3" t="inlineStr">
        <is>
          <t>당기말</t>
        </is>
      </c>
      <c r="C5" s="3" t="inlineStr">
        <is>
          <t>전기말</t>
        </is>
      </c>
    </row>
    <row r="6">
      <c r="A6" s="5" t="inlineStr">
        <is>
          <t>매입채무</t>
        </is>
      </c>
      <c r="B6" s="7" t="n">
        <v>4092019</v>
      </c>
      <c r="C6" s="7" t="n">
        <v>1080657</v>
      </c>
    </row>
    <row r="7">
      <c r="A7" s="5" t="inlineStr">
        <is>
          <t>기타지급채무</t>
        </is>
      </c>
      <c r="B7" s="4" t="inlineStr"/>
      <c r="C7" s="4" t="inlineStr"/>
    </row>
    <row r="8">
      <c r="A8" s="5" t="inlineStr">
        <is>
          <t>미지급금</t>
        </is>
      </c>
      <c r="B8" s="7" t="n">
        <v>1570167</v>
      </c>
      <c r="C8" s="7" t="n">
        <v>2333086</v>
      </c>
    </row>
    <row r="9">
      <c r="A9" s="5" t="inlineStr">
        <is>
          <t>미지급비용</t>
        </is>
      </c>
      <c r="B9" s="7" t="n">
        <v>339584</v>
      </c>
      <c r="C9" s="7" t="n">
        <v>322707</v>
      </c>
    </row>
    <row r="10">
      <c r="A10" s="8" t="inlineStr">
        <is>
          <t>소 계</t>
        </is>
      </c>
      <c r="B10" s="9" t="n">
        <v>1909751</v>
      </c>
      <c r="C10" s="9" t="n">
        <v>2655793</v>
      </c>
    </row>
    <row r="11">
      <c r="A11" s="8" t="inlineStr">
        <is>
          <t>합 계</t>
        </is>
      </c>
      <c r="B11" s="9" t="n">
        <v>6001770</v>
      </c>
      <c r="C11" s="9" t="n">
        <v>3736450</v>
      </c>
    </row>
    <row r="12">
      <c r="A12" s="2" t="inlineStr">
        <is>
          <t xml:space="preserve">  └ 푸팅검증: 소 계(행 10) − 그룹합</t>
        </is>
      </c>
      <c r="B12" s="17">
        <f>IF(ABS(B10-(SUM(B8:B9)))&lt;1.5,TRUE,B10-(SUM(B8:B9)))</f>
        <v/>
      </c>
      <c r="C12" s="17">
        <f>IF(ABS(C10-(SUM(C8:C9)))&lt;1.5,TRUE,C10-(SUM(C8:C9)))</f>
        <v/>
      </c>
    </row>
    <row r="13">
      <c r="A13" s="2" t="inlineStr">
        <is>
          <t xml:space="preserve">  └ 푸팅검증: 합 계(행 11) − 그룹합</t>
        </is>
      </c>
      <c r="B13" s="17">
        <f>IF(ABS(B11-(B6+B10))&lt;1.5,TRUE,B11-(B6+B10))</f>
        <v/>
      </c>
      <c r="C13" s="17">
        <f>IF(ABS(C11-(C6+C10))&lt;1.5,TRUE,C11-(C6+C10))</f>
        <v/>
      </c>
    </row>
    <row r="16">
      <c r="A16" s="10" t="inlineStr">
        <is>
          <t>■ 크로스 참조</t>
        </is>
      </c>
    </row>
    <row r="17">
      <c r="A17" s="2" t="inlineStr">
        <is>
          <t>주16 매입채무 = BS 매입채무</t>
        </is>
      </c>
      <c r="B17" s="17">
        <f>IF(ABS(B6*1000-'BS'!B26)&lt;5000,TRUE,B6*1000-'BS'!B26)</f>
        <v/>
      </c>
      <c r="C17" s="2" t="inlineStr">
        <is>
          <t>→ BS!B26</t>
        </is>
      </c>
    </row>
    <row r="18">
      <c r="A18" s="2" t="inlineStr">
        <is>
          <t>주16 기타지급채무 소계 = BS 기타지급채무</t>
        </is>
      </c>
      <c r="B18" s="17">
        <f>IF(ABS(B10*1000-'BS'!B27)&lt;5000,TRUE,B10*1000-'BS'!B27)</f>
        <v/>
      </c>
      <c r="C18" s="2" t="inlineStr">
        <is>
          <t>→ BS!B27</t>
        </is>
      </c>
    </row>
  </sheetData>
  <conditionalFormatting sqref="B12:B13">
    <cfRule type="expression" priority="1" dxfId="0">
      <formula>ISNUMBER(B12)</formula>
    </cfRule>
  </conditionalFormatting>
  <conditionalFormatting sqref="C12:C13">
    <cfRule type="expression" priority="2" dxfId="0">
      <formula>ISNUMBER(C12)</formula>
    </cfRule>
  </conditionalFormatting>
  <conditionalFormatting sqref="B17:B18">
    <cfRule type="expression" priority="3" dxfId="0">
      <formula>ISNUMBER(B17)</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35"/>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22" customWidth="1" min="6" max="6"/>
    <col width="17" customWidth="1" min="7" max="7"/>
    <col width="17" customWidth="1" min="8" max="8"/>
    <col width="17" customWidth="1" min="9" max="9"/>
    <col width="17" customWidth="1" min="10" max="10"/>
    <col width="17" customWidth="1" min="11" max="11"/>
  </cols>
  <sheetData>
    <row r="1">
      <c r="A1" s="14" t="inlineStr">
        <is>
          <t>17. 기타부채</t>
        </is>
      </c>
      <c r="J1" s="15">
        <f>HYPERLINK("#총괄표!A1","◀ 총괄표")</f>
        <v/>
      </c>
    </row>
    <row r="3">
      <c r="A3" s="2" t="inlineStr">
        <is>
          <t>(1) 당기말과 전기말 현재 기타부채의 내역은 다음과 같습니다.</t>
        </is>
      </c>
    </row>
    <row r="4">
      <c r="B4" s="2" t="inlineStr">
        <is>
          <t>(단위: 천원)</t>
        </is>
      </c>
    </row>
    <row r="5">
      <c r="A5" s="3" t="inlineStr">
        <is>
          <t>구 분</t>
        </is>
      </c>
      <c r="B5" s="3" t="inlineStr">
        <is>
          <t>당기말</t>
        </is>
      </c>
      <c r="C5" s="3" t="inlineStr">
        <is>
          <t>전기말</t>
        </is>
      </c>
    </row>
    <row r="6">
      <c r="A6" s="5" t="inlineStr">
        <is>
          <t>기타유동부채</t>
        </is>
      </c>
      <c r="B6" s="4" t="inlineStr">
        <is>
          <t>기타유동부채</t>
        </is>
      </c>
      <c r="C6" s="4" t="inlineStr">
        <is>
          <t>기타유동부채</t>
        </is>
      </c>
    </row>
    <row r="7">
      <c r="A7" s="5" t="inlineStr">
        <is>
          <t>선수금</t>
        </is>
      </c>
      <c r="B7" s="7" t="n">
        <v>846363</v>
      </c>
      <c r="C7" s="7" t="n">
        <v>208983</v>
      </c>
    </row>
    <row r="8">
      <c r="A8" s="5" t="inlineStr">
        <is>
          <t>예수금</t>
        </is>
      </c>
      <c r="B8" s="7" t="n">
        <v>47493</v>
      </c>
      <c r="C8" s="7" t="n">
        <v>49721</v>
      </c>
    </row>
    <row r="9">
      <c r="A9" s="5" t="inlineStr">
        <is>
          <t>부가세예수금</t>
        </is>
      </c>
      <c r="B9" s="7" t="n">
        <v>0</v>
      </c>
      <c r="C9" s="7" t="n">
        <v>270059</v>
      </c>
    </row>
    <row r="10">
      <c r="A10" s="5" t="inlineStr">
        <is>
          <t>복구충당부채</t>
        </is>
      </c>
      <c r="B10" s="7" t="n">
        <v>20000</v>
      </c>
      <c r="C10" s="7" t="n">
        <v>0</v>
      </c>
    </row>
    <row r="11">
      <c r="A11" s="5" t="inlineStr">
        <is>
          <t>소송충당부채</t>
        </is>
      </c>
      <c r="B11" s="7" t="n">
        <v>377033</v>
      </c>
      <c r="C11" s="7" t="n">
        <v>0</v>
      </c>
    </row>
    <row r="12">
      <c r="A12" s="8" t="inlineStr">
        <is>
          <t>소 계</t>
        </is>
      </c>
      <c r="B12" s="9" t="n">
        <v>1290889</v>
      </c>
      <c r="C12" s="9" t="n">
        <v>528763</v>
      </c>
    </row>
    <row r="13">
      <c r="A13" s="5" t="inlineStr">
        <is>
          <t>기타비유동부채</t>
        </is>
      </c>
      <c r="B13" s="4" t="inlineStr">
        <is>
          <t>기타비유동부채</t>
        </is>
      </c>
      <c r="C13" s="4" t="inlineStr">
        <is>
          <t>기타비유동부채</t>
        </is>
      </c>
    </row>
    <row r="14">
      <c r="A14" s="5" t="inlineStr">
        <is>
          <t>복구충당부채</t>
        </is>
      </c>
      <c r="B14" s="7" t="n">
        <v>0</v>
      </c>
      <c r="C14" s="7" t="n">
        <v>20000</v>
      </c>
    </row>
    <row r="15">
      <c r="A15" s="8" t="inlineStr">
        <is>
          <t>합 계</t>
        </is>
      </c>
      <c r="B15" s="9" t="n">
        <v>1290889</v>
      </c>
      <c r="C15" s="9" t="n">
        <v>548763</v>
      </c>
    </row>
    <row r="16">
      <c r="A16" s="2" t="inlineStr">
        <is>
          <t xml:space="preserve">  └ 푸팅검증: 소 계(행 12) − Σ(행)</t>
        </is>
      </c>
      <c r="B16" s="17">
        <f>IF(ABS(B12-(SUM(B7:B11)))&lt;1.5,TRUE,B12-(SUM(B7:B11)))</f>
        <v/>
      </c>
      <c r="C16" s="17">
        <f>IF(ABS(C12-(SUM(C7:C11)))&lt;1.5,TRUE,C12-(SUM(C7:C11)))</f>
        <v/>
      </c>
    </row>
    <row r="17">
      <c r="A17" s="2" t="inlineStr">
        <is>
          <t xml:space="preserve">  └ 푸팅검증: 합 계(행 15) − 직전 소계 + Σ(행)</t>
        </is>
      </c>
      <c r="B17" s="17">
        <f>IF(ABS(B15-(B12+SUM(B14:B14)))&lt;1.5,TRUE,B15-(B12+SUM(B14:B14)))</f>
        <v/>
      </c>
      <c r="C17" s="17">
        <f>IF(ABS(C15-(C12+SUM(C14:C14)))&lt;1.5,TRUE,C15-(C12+SUM(C14:C14)))</f>
        <v/>
      </c>
    </row>
    <row r="19">
      <c r="A19" s="2" t="inlineStr">
        <is>
          <t>(2) 당기 중 충당부채에 대한 변동내역은 다음과 같습니다.&lt;당기&gt;</t>
        </is>
      </c>
    </row>
    <row r="20">
      <c r="B20" s="2" t="inlineStr">
        <is>
          <t>(단위: 천원)</t>
        </is>
      </c>
    </row>
    <row r="21">
      <c r="A21" s="3" t="inlineStr">
        <is>
          <t>구 분</t>
        </is>
      </c>
      <c r="B21" s="3" t="inlineStr">
        <is>
          <t>기 초</t>
        </is>
      </c>
      <c r="C21" s="3" t="inlineStr">
        <is>
          <t>전 입</t>
        </is>
      </c>
      <c r="D21" s="3" t="inlineStr">
        <is>
          <t>대 체(*)</t>
        </is>
      </c>
      <c r="E21" s="3" t="inlineStr">
        <is>
          <t>기 말</t>
        </is>
      </c>
      <c r="F21" s="3" t="inlineStr">
        <is>
          <t>└ 행검증: 기말 − (기초 +전입 +대체(*))</t>
        </is>
      </c>
    </row>
    <row r="22">
      <c r="A22" s="5" t="inlineStr">
        <is>
          <t>유 동</t>
        </is>
      </c>
      <c r="B22" s="4" t="inlineStr">
        <is>
          <t>유 동</t>
        </is>
      </c>
      <c r="C22" s="4" t="inlineStr">
        <is>
          <t>유 동</t>
        </is>
      </c>
      <c r="D22" s="4" t="inlineStr">
        <is>
          <t>유 동</t>
        </is>
      </c>
      <c r="E22" s="4" t="inlineStr">
        <is>
          <t>유 동</t>
        </is>
      </c>
    </row>
    <row r="23">
      <c r="A23" s="5" t="inlineStr">
        <is>
          <t>복구충당부채</t>
        </is>
      </c>
      <c r="B23" s="7" t="n">
        <v>0</v>
      </c>
      <c r="C23" s="7" t="n">
        <v>0</v>
      </c>
      <c r="D23" s="7" t="n">
        <v>20000</v>
      </c>
      <c r="E23" s="7" t="n">
        <v>20000</v>
      </c>
      <c r="F23" s="17">
        <f>IF(ABS(E23-(B23+C23+D23))&lt;1.5,TRUE,E23-(B23+C23+D23))</f>
        <v/>
      </c>
    </row>
    <row r="24">
      <c r="A24" s="5" t="inlineStr">
        <is>
          <t>소송충당부채</t>
        </is>
      </c>
      <c r="B24" s="7" t="n">
        <v>0</v>
      </c>
      <c r="C24" s="7" t="n">
        <v>234911</v>
      </c>
      <c r="D24" s="7" t="n">
        <v>142122</v>
      </c>
      <c r="E24" s="7" t="n">
        <v>377033</v>
      </c>
      <c r="F24" s="17">
        <f>IF(ABS(E24-(B24+C24+D24))&lt;1.5,TRUE,E24-(B24+C24+D24))</f>
        <v/>
      </c>
    </row>
    <row r="25">
      <c r="A25" s="8" t="inlineStr">
        <is>
          <t>소 계</t>
        </is>
      </c>
      <c r="B25" s="9" t="n">
        <v>0</v>
      </c>
      <c r="C25" s="9" t="n">
        <v>234911</v>
      </c>
      <c r="D25" s="9" t="n">
        <v>162122</v>
      </c>
      <c r="E25" s="9" t="n">
        <v>397033</v>
      </c>
      <c r="F25" s="17">
        <f>IF(ABS(E25-(B25+C25+D25))&lt;1.5,TRUE,E25-(B25+C25+D25))</f>
        <v/>
      </c>
    </row>
    <row r="26">
      <c r="A26" s="5" t="inlineStr">
        <is>
          <t>비유동</t>
        </is>
      </c>
      <c r="B26" s="4" t="inlineStr">
        <is>
          <t>비유동</t>
        </is>
      </c>
      <c r="C26" s="4" t="inlineStr">
        <is>
          <t>비유동</t>
        </is>
      </c>
      <c r="D26" s="4" t="inlineStr">
        <is>
          <t>비유동</t>
        </is>
      </c>
      <c r="E26" s="4" t="inlineStr">
        <is>
          <t>비유동</t>
        </is>
      </c>
    </row>
    <row r="27">
      <c r="A27" s="5" t="inlineStr">
        <is>
          <t>복구충당부채</t>
        </is>
      </c>
      <c r="B27" s="7" t="n">
        <v>20000</v>
      </c>
      <c r="C27" s="7" t="n">
        <v>0</v>
      </c>
      <c r="D27" s="7" t="n">
        <v>-20000</v>
      </c>
      <c r="E27" s="7" t="n">
        <v>0</v>
      </c>
    </row>
    <row r="28">
      <c r="A28" s="8" t="inlineStr">
        <is>
          <t>합 계</t>
        </is>
      </c>
      <c r="B28" s="9" t="n">
        <v>20000</v>
      </c>
      <c r="C28" s="9" t="n">
        <v>234911</v>
      </c>
      <c r="D28" s="9" t="n">
        <v>142122</v>
      </c>
      <c r="E28" s="9" t="n">
        <v>397033</v>
      </c>
      <c r="F28" s="17">
        <f>IF(ABS(E28-(B28+C28+D28))&lt;1.5,TRUE,E28-(B28+C28+D28))</f>
        <v/>
      </c>
    </row>
    <row r="29">
      <c r="A29" s="2" t="inlineStr">
        <is>
          <t xml:space="preserve">  └ 푸팅검증: 소 계(행 25) − Σ(행)</t>
        </is>
      </c>
      <c r="C29" s="17">
        <f>IF(ABS(C25-(SUM(C23:C24)))&lt;1.5,TRUE,C25-(SUM(C23:C24)))</f>
        <v/>
      </c>
      <c r="D29" s="17">
        <f>IF(ABS(D25-(SUM(D23:D24)))&lt;1.5,TRUE,D25-(SUM(D23:D24)))</f>
        <v/>
      </c>
      <c r="E29" s="17">
        <f>IF(ABS(E25-(SUM(E23:E24)))&lt;1.5,TRUE,E25-(SUM(E23:E24)))</f>
        <v/>
      </c>
    </row>
    <row r="30">
      <c r="A30" s="2" t="inlineStr">
        <is>
          <t xml:space="preserve">  └ 푸팅검증: 합 계(행 28) − 직전 소계 + Σ(행)</t>
        </is>
      </c>
      <c r="B30" s="17">
        <f>IF(ABS(B28-(B25+SUM(B27:B27)))&lt;1.5,TRUE,B28-(B25+SUM(B27:B27)))</f>
        <v/>
      </c>
      <c r="C30" s="17">
        <f>IF(ABS(C28-(C25+SUM(C27:C27)))&lt;1.5,TRUE,C28-(C25+SUM(C27:C27)))</f>
        <v/>
      </c>
      <c r="D30" s="17">
        <f>IF(ABS(D28-(D25+SUM(D27:D27)))&lt;1.5,TRUE,D28-(D25+SUM(D27:D27)))</f>
        <v/>
      </c>
      <c r="E30" s="17">
        <f>IF(ABS(E28-(E25+SUM(E27:E27)))&lt;1.5,TRUE,E28-(E25+SUM(E27:E27)))</f>
        <v/>
      </c>
    </row>
    <row r="32">
      <c r="A32" s="2" t="inlineStr">
        <is>
          <t>(*) 당기 중 1심 판결이 선고된 소송과 관련하여, 일부 금액을 미지급금에서 소송충당부채로 재분류하였습니다.</t>
        </is>
      </c>
    </row>
    <row r="34">
      <c r="A34" s="10" t="inlineStr">
        <is>
          <t>■ 크로스 참조</t>
        </is>
      </c>
    </row>
    <row r="35">
      <c r="A35" s="2" t="inlineStr">
        <is>
          <t>주17 기타유동부채 소계 = BS 기타유동부채</t>
        </is>
      </c>
      <c r="B35" s="17">
        <f>IF(ABS(B12*1000-'BS'!B29)&lt;5000,TRUE,B12*1000-'BS'!B29)</f>
        <v/>
      </c>
      <c r="C35" s="2" t="inlineStr">
        <is>
          <t>→ BS!B29</t>
        </is>
      </c>
    </row>
  </sheetData>
  <conditionalFormatting sqref="B16:B17">
    <cfRule type="expression" priority="1" dxfId="0">
      <formula>ISNUMBER(B16)</formula>
    </cfRule>
  </conditionalFormatting>
  <conditionalFormatting sqref="B30">
    <cfRule type="expression" priority="2" dxfId="0">
      <formula>ISNUMBER(B30)</formula>
    </cfRule>
  </conditionalFormatting>
  <conditionalFormatting sqref="C16:C17">
    <cfRule type="expression" priority="3" dxfId="0">
      <formula>ISNUMBER(C16)</formula>
    </cfRule>
  </conditionalFormatting>
  <conditionalFormatting sqref="C29:C30">
    <cfRule type="expression" priority="4" dxfId="0">
      <formula>ISNUMBER(C29)</formula>
    </cfRule>
  </conditionalFormatting>
  <conditionalFormatting sqref="D29:D30">
    <cfRule type="expression" priority="5" dxfId="0">
      <formula>ISNUMBER(D29)</formula>
    </cfRule>
  </conditionalFormatting>
  <conditionalFormatting sqref="E29:E30">
    <cfRule type="expression" priority="6" dxfId="0">
      <formula>ISNUMBER(E29)</formula>
    </cfRule>
  </conditionalFormatting>
  <conditionalFormatting sqref="F23:F25">
    <cfRule type="expression" priority="7" dxfId="0">
      <formula>ISNUMBER(F23)</formula>
    </cfRule>
  </conditionalFormatting>
  <conditionalFormatting sqref="F28">
    <cfRule type="expression" priority="8" dxfId="0">
      <formula>ISNUMBER(F28)</formula>
    </cfRule>
  </conditionalFormatting>
  <conditionalFormatting sqref="B35">
    <cfRule type="expression" priority="9" dxfId="0">
      <formula>ISNUMBER(B35)</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85"/>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18. 종업원급여</t>
        </is>
      </c>
      <c r="J1" s="15">
        <f>HYPERLINK("#총괄표!A1","◀ 총괄표")</f>
        <v/>
      </c>
    </row>
    <row r="3">
      <c r="A3" s="2" t="inlineStr">
        <is>
          <t>18.1 확정급여제도(1) 당기말과 전기말 현재 재무상태표에 인식된 순확정급여자산 관련 자산과 부채의 금액은 다음과 같습니다.</t>
        </is>
      </c>
    </row>
    <row r="4">
      <c r="B4" s="2" t="inlineStr">
        <is>
          <t>(단위: 천원)</t>
        </is>
      </c>
    </row>
    <row r="5">
      <c r="A5" s="3" t="inlineStr">
        <is>
          <t>구 분</t>
        </is>
      </c>
      <c r="B5" s="3" t="inlineStr">
        <is>
          <t>당기말</t>
        </is>
      </c>
      <c r="C5" s="3" t="inlineStr">
        <is>
          <t>전기말</t>
        </is>
      </c>
    </row>
    <row r="6">
      <c r="A6" s="5" t="inlineStr">
        <is>
          <t>확정급여채무</t>
        </is>
      </c>
      <c r="B6" s="7" t="n">
        <v>2670233</v>
      </c>
      <c r="C6" s="7" t="n">
        <v>2652568</v>
      </c>
    </row>
    <row r="7">
      <c r="A7" s="5" t="inlineStr">
        <is>
          <t>사외적립자산 공정가치</t>
        </is>
      </c>
      <c r="B7" s="7" t="n">
        <v>-2813142</v>
      </c>
      <c r="C7" s="7" t="n">
        <v>-2802005</v>
      </c>
    </row>
    <row r="8">
      <c r="A8" s="8" t="inlineStr">
        <is>
          <t>합 계(*)</t>
        </is>
      </c>
      <c r="B8" s="9" t="n">
        <v>-142909</v>
      </c>
      <c r="C8" s="9" t="n">
        <v>-149437</v>
      </c>
    </row>
    <row r="9">
      <c r="A9" s="2" t="inlineStr">
        <is>
          <t xml:space="preserve">  └ 푸팅검증: 합 계(*)(행 8) − Σ(행)</t>
        </is>
      </c>
      <c r="B9" s="17">
        <f>IF(ABS(B8-(SUM(B6:B7)))&lt;1.5,TRUE,B8-(SUM(B6:B7)))</f>
        <v/>
      </c>
      <c r="C9" s="17">
        <f>IF(ABS(C8-(SUM(C6:C7)))&lt;1.5,TRUE,C8-(SUM(C6:C7)))</f>
        <v/>
      </c>
    </row>
    <row r="11">
      <c r="A11" s="2" t="inlineStr">
        <is>
          <t>(*) 당기말과 전기말 현재 사외적립자산의 공정가치가 확정급여채무 금액을 초과하여 재무상태표상 순확정급여자산으로 계상하였습니다.</t>
        </is>
      </c>
    </row>
    <row r="12">
      <c r="A12" s="2" t="inlineStr">
        <is>
          <t>(2) 당기와 전기 중 확정급여채무와 사외적립자산의 변동내역은 다음과 같습니다.</t>
        </is>
      </c>
    </row>
    <row r="13">
      <c r="B13" s="2" t="inlineStr">
        <is>
          <t>(단위: 천원)</t>
        </is>
      </c>
    </row>
    <row r="14">
      <c r="A14" s="3" t="inlineStr">
        <is>
          <t>구 분</t>
        </is>
      </c>
      <c r="B14" s="3" t="inlineStr">
        <is>
          <t>확정급여채무</t>
        </is>
      </c>
      <c r="C14" s="3" t="inlineStr">
        <is>
          <t>확정급여채무</t>
        </is>
      </c>
      <c r="D14" s="3" t="inlineStr">
        <is>
          <t>사외적립자산 공정가치</t>
        </is>
      </c>
      <c r="E14" s="3" t="inlineStr">
        <is>
          <t>사외적립자산 공정가치</t>
        </is>
      </c>
      <c r="F14" s="3" t="inlineStr">
        <is>
          <t>순확정급여자산</t>
        </is>
      </c>
      <c r="G14" s="3" t="inlineStr">
        <is>
          <t>순확정급여자산</t>
        </is>
      </c>
    </row>
    <row r="15">
      <c r="A15" s="3" t="inlineStr">
        <is>
          <t>구 분</t>
        </is>
      </c>
      <c r="B15" s="3" t="inlineStr">
        <is>
          <t>당 기</t>
        </is>
      </c>
      <c r="C15" s="3" t="inlineStr">
        <is>
          <t>전 기</t>
        </is>
      </c>
      <c r="D15" s="3" t="inlineStr">
        <is>
          <t>당 기</t>
        </is>
      </c>
      <c r="E15" s="3" t="inlineStr">
        <is>
          <t>전 기</t>
        </is>
      </c>
      <c r="F15" s="3" t="inlineStr">
        <is>
          <t>당 기</t>
        </is>
      </c>
      <c r="G15" s="3" t="inlineStr">
        <is>
          <t>전 기</t>
        </is>
      </c>
    </row>
    <row r="16">
      <c r="A16" s="5" t="inlineStr">
        <is>
          <t>기초잔액</t>
        </is>
      </c>
      <c r="B16" s="7" t="n">
        <v>2652568</v>
      </c>
      <c r="C16" s="7" t="n">
        <v>2339080</v>
      </c>
      <c r="D16" s="7" t="n">
        <v>-2802005</v>
      </c>
      <c r="E16" s="7" t="n">
        <v>-2423355</v>
      </c>
      <c r="F16" s="7" t="n">
        <v>-149437</v>
      </c>
      <c r="G16" s="7" t="n">
        <v>-84275</v>
      </c>
    </row>
    <row r="17">
      <c r="A17" s="5" t="inlineStr">
        <is>
          <t>당기 비용으로 인식</t>
        </is>
      </c>
      <c r="B17" s="4" t="inlineStr"/>
      <c r="C17" s="4" t="inlineStr"/>
      <c r="D17" s="4" t="inlineStr"/>
      <c r="E17" s="4" t="inlineStr"/>
      <c r="F17" s="4" t="inlineStr"/>
      <c r="G17" s="4" t="inlineStr"/>
    </row>
    <row r="18">
      <c r="A18" s="5" t="inlineStr">
        <is>
          <t>당기근무원가</t>
        </is>
      </c>
      <c r="B18" s="7" t="n">
        <v>288162</v>
      </c>
      <c r="C18" s="7" t="n">
        <v>265201</v>
      </c>
      <c r="D18" s="7" t="n">
        <v>0</v>
      </c>
      <c r="E18" s="7" t="n">
        <v>0</v>
      </c>
      <c r="F18" s="7" t="n">
        <v>288162</v>
      </c>
      <c r="G18" s="7" t="n">
        <v>265201</v>
      </c>
    </row>
    <row r="19">
      <c r="A19" s="5" t="inlineStr">
        <is>
          <t>이자원가(수익)</t>
        </is>
      </c>
      <c r="B19" s="7" t="n">
        <v>92205</v>
      </c>
      <c r="C19" s="7" t="n">
        <v>94435</v>
      </c>
      <c r="D19" s="7" t="n">
        <v>-97622</v>
      </c>
      <c r="E19" s="7" t="n">
        <v>-97979</v>
      </c>
      <c r="F19" s="7" t="n">
        <v>-5417</v>
      </c>
      <c r="G19" s="7" t="n">
        <v>-3544</v>
      </c>
    </row>
    <row r="20">
      <c r="A20" s="8" t="inlineStr">
        <is>
          <t>소 계</t>
        </is>
      </c>
      <c r="B20" s="9" t="n">
        <v>380367</v>
      </c>
      <c r="C20" s="9" t="n">
        <v>359636</v>
      </c>
      <c r="D20" s="9" t="n">
        <v>-97622</v>
      </c>
      <c r="E20" s="9" t="n">
        <v>-97979</v>
      </c>
      <c r="F20" s="9" t="n">
        <v>282745</v>
      </c>
      <c r="G20" s="9" t="n">
        <v>261657</v>
      </c>
    </row>
    <row r="21">
      <c r="A21" s="5" t="inlineStr">
        <is>
          <t>기타포괄손익으로 인식</t>
        </is>
      </c>
      <c r="B21" s="4" t="inlineStr"/>
      <c r="C21" s="4" t="inlineStr"/>
      <c r="D21" s="4" t="inlineStr"/>
      <c r="E21" s="4" t="inlineStr"/>
      <c r="F21" s="4" t="inlineStr"/>
      <c r="G21" s="4" t="inlineStr"/>
    </row>
    <row r="22">
      <c r="A22" s="5" t="inlineStr">
        <is>
          <t>재측정손실</t>
        </is>
      </c>
      <c r="B22" s="4" t="inlineStr"/>
      <c r="C22" s="4" t="inlineStr"/>
      <c r="D22" s="4" t="inlineStr"/>
      <c r="E22" s="4" t="inlineStr"/>
      <c r="F22" s="4" t="inlineStr"/>
      <c r="G22" s="4" t="inlineStr"/>
    </row>
    <row r="23">
      <c r="A23" s="5" t="inlineStr">
        <is>
          <t>재무적 가정 변동</t>
        </is>
      </c>
      <c r="B23" s="7" t="n">
        <v>-63117</v>
      </c>
      <c r="C23" s="7" t="n">
        <v>105543</v>
      </c>
      <c r="D23" s="7" t="n">
        <v>0</v>
      </c>
      <c r="E23" s="7" t="n">
        <v>0</v>
      </c>
      <c r="F23" s="7" t="n">
        <v>-63117</v>
      </c>
      <c r="G23" s="7" t="n">
        <v>105543</v>
      </c>
    </row>
    <row r="24">
      <c r="A24" s="5" t="inlineStr">
        <is>
          <t>경험적 조정</t>
        </is>
      </c>
      <c r="B24" s="7" t="n">
        <v>-31603</v>
      </c>
      <c r="C24" s="7" t="n">
        <v>2265</v>
      </c>
      <c r="D24" s="7" t="n">
        <v>0</v>
      </c>
      <c r="E24" s="7" t="n">
        <v>0</v>
      </c>
      <c r="F24" s="7" t="n">
        <v>-31603</v>
      </c>
      <c r="G24" s="7" t="n">
        <v>2265</v>
      </c>
    </row>
    <row r="25">
      <c r="A25" s="5" t="inlineStr">
        <is>
          <t>사외적립자산의 수익</t>
        </is>
      </c>
      <c r="B25" s="7" t="n">
        <v>0</v>
      </c>
      <c r="C25" s="7" t="n">
        <v>0</v>
      </c>
      <c r="D25" s="7" t="n">
        <v>18503</v>
      </c>
      <c r="E25" s="7" t="n">
        <v>17443</v>
      </c>
      <c r="F25" s="7" t="n">
        <v>18503</v>
      </c>
      <c r="G25" s="7" t="n">
        <v>17443</v>
      </c>
    </row>
    <row r="26">
      <c r="A26" s="8" t="inlineStr">
        <is>
          <t>소 계</t>
        </is>
      </c>
      <c r="B26" s="9" t="n">
        <v>-94720</v>
      </c>
      <c r="C26" s="9" t="n">
        <v>107808</v>
      </c>
      <c r="D26" s="9" t="n">
        <v>18503</v>
      </c>
      <c r="E26" s="9" t="n">
        <v>17443</v>
      </c>
      <c r="F26" s="9" t="n">
        <v>-76217</v>
      </c>
      <c r="G26" s="9" t="n">
        <v>125251</v>
      </c>
    </row>
    <row r="27">
      <c r="A27" s="5" t="inlineStr">
        <is>
          <t>기 타</t>
        </is>
      </c>
      <c r="B27" s="4" t="inlineStr"/>
      <c r="C27" s="4" t="inlineStr"/>
      <c r="D27" s="4" t="inlineStr"/>
      <c r="E27" s="4" t="inlineStr"/>
      <c r="F27" s="4" t="inlineStr"/>
      <c r="G27" s="4" t="inlineStr"/>
    </row>
    <row r="28">
      <c r="A28" s="5" t="inlineStr">
        <is>
          <t>급여 지급</t>
        </is>
      </c>
      <c r="B28" s="7" t="n">
        <v>-214740</v>
      </c>
      <c r="C28" s="7" t="n">
        <v>-153956</v>
      </c>
      <c r="D28" s="7" t="n">
        <v>214740</v>
      </c>
      <c r="E28" s="7" t="n">
        <v>151886</v>
      </c>
      <c r="F28" s="7" t="n">
        <v>0</v>
      </c>
      <c r="G28" s="7" t="n">
        <v>-2070</v>
      </c>
    </row>
    <row r="29">
      <c r="A29" s="5" t="inlineStr">
        <is>
          <t>관계사간 전출</t>
        </is>
      </c>
      <c r="B29" s="7" t="n">
        <v>-53242</v>
      </c>
      <c r="C29" s="7" t="n">
        <v>0</v>
      </c>
      <c r="D29" s="7" t="n">
        <v>53242</v>
      </c>
      <c r="E29" s="7" t="n">
        <v>0</v>
      </c>
      <c r="F29" s="7" t="n">
        <v>0</v>
      </c>
      <c r="G29" s="7" t="n">
        <v>0</v>
      </c>
    </row>
    <row r="30">
      <c r="A30" s="5" t="inlineStr">
        <is>
          <t>납부한 기여금</t>
        </is>
      </c>
      <c r="B30" s="7" t="n">
        <v>0</v>
      </c>
      <c r="C30" s="7" t="n">
        <v>0</v>
      </c>
      <c r="D30" s="7" t="n">
        <v>-200000</v>
      </c>
      <c r="E30" s="7" t="n">
        <v>-450000</v>
      </c>
      <c r="F30" s="7" t="n">
        <v>-200000</v>
      </c>
      <c r="G30" s="7" t="n">
        <v>-450000</v>
      </c>
    </row>
    <row r="31">
      <c r="A31" s="8" t="inlineStr">
        <is>
          <t>소 계</t>
        </is>
      </c>
      <c r="B31" s="9" t="n">
        <v>-267982</v>
      </c>
      <c r="C31" s="9" t="n">
        <v>-153956</v>
      </c>
      <c r="D31" s="9" t="n">
        <v>67982</v>
      </c>
      <c r="E31" s="9" t="n">
        <v>-298114</v>
      </c>
      <c r="F31" s="9" t="n">
        <v>-200000</v>
      </c>
      <c r="G31" s="9" t="n">
        <v>-452070</v>
      </c>
    </row>
    <row r="32">
      <c r="A32" s="8" t="inlineStr">
        <is>
          <t>기말잔액</t>
        </is>
      </c>
      <c r="B32" s="9" t="n">
        <v>2670233</v>
      </c>
      <c r="C32" s="9" t="n">
        <v>2652568</v>
      </c>
      <c r="D32" s="9" t="n">
        <v>-2813142</v>
      </c>
      <c r="E32" s="9" t="n">
        <v>-2802005</v>
      </c>
      <c r="F32" s="9" t="n">
        <v>-142909</v>
      </c>
      <c r="G32" s="9" t="n">
        <v>-149437</v>
      </c>
    </row>
    <row r="33">
      <c r="A33" s="2" t="inlineStr">
        <is>
          <t xml:space="preserve">  └ 푸팅검증: 소 계(행 20) − 그룹합</t>
        </is>
      </c>
      <c r="B33" s="17">
        <f>IF(ABS(B20-(SUM(B18:B19)))&lt;1.5,TRUE,B20-(SUM(B18:B19)))</f>
        <v/>
      </c>
      <c r="C33" s="17">
        <f>IF(ABS(C20-(SUM(C18:C19)))&lt;1.5,TRUE,C20-(SUM(C18:C19)))</f>
        <v/>
      </c>
      <c r="D33" s="17">
        <f>IF(ABS(D20-(SUM(D18:D19)))&lt;1.5,TRUE,D20-(SUM(D18:D19)))</f>
        <v/>
      </c>
      <c r="E33" s="17">
        <f>IF(ABS(E20-(SUM(E18:E19)))&lt;1.5,TRUE,E20-(SUM(E18:E19)))</f>
        <v/>
      </c>
      <c r="F33" s="17">
        <f>IF(ABS(F20-(SUM(F18:F19)))&lt;1.5,TRUE,F20-(SUM(F18:F19)))</f>
        <v/>
      </c>
      <c r="G33" s="17">
        <f>IF(ABS(G20-(SUM(G18:G19)))&lt;1.5,TRUE,G20-(SUM(G18:G19)))</f>
        <v/>
      </c>
    </row>
    <row r="34">
      <c r="A34" s="2" t="inlineStr">
        <is>
          <t xml:space="preserve">  └ 푸팅검증: 소 계(행 26) − Σ(행)</t>
        </is>
      </c>
      <c r="B34" s="17">
        <f>IF(ABS(B26-(SUM(B23:B25)))&lt;1.5,TRUE,B26-(SUM(B23:B25)))</f>
        <v/>
      </c>
      <c r="C34" s="17">
        <f>IF(ABS(C26-(SUM(C23:C25)))&lt;1.5,TRUE,C26-(SUM(C23:C25)))</f>
        <v/>
      </c>
      <c r="D34" s="17">
        <f>IF(ABS(D26-(SUM(D23:D25)))&lt;1.5,TRUE,D26-(SUM(D23:D25)))</f>
        <v/>
      </c>
      <c r="E34" s="17">
        <f>IF(ABS(E26-(SUM(E23:E25)))&lt;1.5,TRUE,E26-(SUM(E23:E25)))</f>
        <v/>
      </c>
      <c r="F34" s="17">
        <f>IF(ABS(F26-(SUM(F23:F25)))&lt;1.5,TRUE,F26-(SUM(F23:F25)))</f>
        <v/>
      </c>
      <c r="G34" s="17">
        <f>IF(ABS(G26-(SUM(G23:G25)))&lt;1.5,TRUE,G26-(SUM(G23:G25)))</f>
        <v/>
      </c>
    </row>
    <row r="35">
      <c r="A35" s="2" t="inlineStr">
        <is>
          <t xml:space="preserve">  └ 푸팅검증: 소 계(행 31) − Σ(행)</t>
        </is>
      </c>
      <c r="B35" s="17">
        <f>IF(ABS(B31-(SUM(B28:B30)))&lt;1.5,TRUE,B31-(SUM(B28:B30)))</f>
        <v/>
      </c>
      <c r="C35" s="17">
        <f>IF(ABS(C31-(SUM(C28:C30)))&lt;1.5,TRUE,C31-(SUM(C28:C30)))</f>
        <v/>
      </c>
      <c r="D35" s="17">
        <f>IF(ABS(D31-(SUM(D28:D30)))&lt;1.5,TRUE,D31-(SUM(D28:D30)))</f>
        <v/>
      </c>
      <c r="E35" s="17">
        <f>IF(ABS(E31-(SUM(E28:E30)))&lt;1.5,TRUE,E31-(SUM(E28:E30)))</f>
        <v/>
      </c>
      <c r="F35" s="17">
        <f>IF(ABS(F31-(SUM(F28:F30)))&lt;1.5,TRUE,F31-(SUM(F28:F30)))</f>
        <v/>
      </c>
      <c r="G35" s="17">
        <f>IF(ABS(G31-(SUM(G28:G30)))&lt;1.5,TRUE,G31-(SUM(G28:G30)))</f>
        <v/>
      </c>
    </row>
    <row r="37">
      <c r="A37" s="2" t="inlineStr">
        <is>
          <t>(3) 당기와 전기 중 발생한 퇴직급여의 배부내역은 다음과 같습니다.</t>
        </is>
      </c>
    </row>
    <row r="38">
      <c r="B38" s="2" t="inlineStr">
        <is>
          <t>(단위: 천원)</t>
        </is>
      </c>
    </row>
    <row r="39">
      <c r="A39" s="3" t="inlineStr">
        <is>
          <t>구 분</t>
        </is>
      </c>
      <c r="B39" s="3" t="inlineStr">
        <is>
          <t>당 기</t>
        </is>
      </c>
      <c r="C39" s="3" t="inlineStr">
        <is>
          <t>전 기</t>
        </is>
      </c>
    </row>
    <row r="40">
      <c r="A40" s="5" t="inlineStr">
        <is>
          <t>매출원가</t>
        </is>
      </c>
      <c r="B40" s="7" t="n">
        <v>142599</v>
      </c>
      <c r="C40" s="7" t="n">
        <v>133128</v>
      </c>
    </row>
    <row r="41">
      <c r="A41" s="5" t="inlineStr">
        <is>
          <t>판매비와관리비</t>
        </is>
      </c>
      <c r="B41" s="7" t="n">
        <v>140146</v>
      </c>
      <c r="C41" s="7" t="n">
        <v>128529</v>
      </c>
    </row>
    <row r="42">
      <c r="A42" s="8" t="inlineStr">
        <is>
          <t>합 계</t>
        </is>
      </c>
      <c r="B42" s="9" t="n">
        <v>282745</v>
      </c>
      <c r="C42" s="9" t="n">
        <v>261657</v>
      </c>
    </row>
    <row r="43">
      <c r="A43" s="2" t="inlineStr">
        <is>
          <t xml:space="preserve">  └ 푸팅검증: 합 계(행 42) − Σ(행)</t>
        </is>
      </c>
      <c r="B43" s="17">
        <f>IF(ABS(B42-(SUM(B40:B41)))&lt;1.5,TRUE,B42-(SUM(B40:B41)))</f>
        <v/>
      </c>
      <c r="C43" s="17">
        <f>IF(ABS(C42-(SUM(C40:C41)))&lt;1.5,TRUE,C42-(SUM(C40:C41)))</f>
        <v/>
      </c>
    </row>
    <row r="45">
      <c r="A45" s="2" t="inlineStr">
        <is>
          <t>(4) 당기말과 전기말 현재 사외적립자산은 다음의 자산으로 구성되어 있습니다.</t>
        </is>
      </c>
    </row>
    <row r="46">
      <c r="B46" s="2" t="inlineStr">
        <is>
          <t>(단위: 천원)</t>
        </is>
      </c>
    </row>
    <row r="47">
      <c r="A47" s="3" t="inlineStr">
        <is>
          <t>구 분</t>
        </is>
      </c>
      <c r="B47" s="3" t="inlineStr">
        <is>
          <t>당기말</t>
        </is>
      </c>
      <c r="C47" s="3" t="inlineStr">
        <is>
          <t>전기말</t>
        </is>
      </c>
    </row>
    <row r="48">
      <c r="A48" s="5" t="inlineStr">
        <is>
          <t>정기예금 등</t>
        </is>
      </c>
      <c r="B48" s="7" t="n">
        <v>2813142</v>
      </c>
      <c r="C48" s="7" t="n">
        <v>2802005</v>
      </c>
    </row>
    <row r="50">
      <c r="A50" s="2" t="inlineStr">
        <is>
          <t>(5) 당기말과 전기말 현재 주요 보험수리적 가정은 다음과 같습니다.</t>
        </is>
      </c>
    </row>
    <row r="51">
      <c r="A51" s="3" t="inlineStr">
        <is>
          <t>구 분</t>
        </is>
      </c>
      <c r="B51" s="3" t="inlineStr">
        <is>
          <t>당기말</t>
        </is>
      </c>
      <c r="C51" s="3" t="inlineStr">
        <is>
          <t>전기말</t>
        </is>
      </c>
    </row>
    <row r="52">
      <c r="A52" s="5" t="inlineStr">
        <is>
          <t>할인율</t>
        </is>
      </c>
      <c r="B52" s="4" t="inlineStr">
        <is>
          <t>3.98%</t>
        </is>
      </c>
      <c r="C52" s="4" t="inlineStr">
        <is>
          <t>3.63%</t>
        </is>
      </c>
    </row>
    <row r="53">
      <c r="A53" s="5" t="inlineStr">
        <is>
          <t>미래임금상승률</t>
        </is>
      </c>
      <c r="B53" s="4" t="inlineStr">
        <is>
          <t>5.02%</t>
        </is>
      </c>
      <c r="C53" s="4" t="inlineStr">
        <is>
          <t>5.02%</t>
        </is>
      </c>
    </row>
    <row r="55">
      <c r="A55" s="2" t="inlineStr">
        <is>
          <t>(6) 당기말과 전기말 현재 주요 보험수리적 가정이 변동한다면 확정급여채무에 미치게 될 영향은 다음과 같습니다.&lt;당기말&gt;</t>
        </is>
      </c>
    </row>
    <row r="56">
      <c r="B56" s="2" t="inlineStr">
        <is>
          <t>(단위: 천원)</t>
        </is>
      </c>
    </row>
    <row r="57">
      <c r="A57" s="3" t="inlineStr">
        <is>
          <t>구 분</t>
        </is>
      </c>
      <c r="B57" s="3" t="inlineStr">
        <is>
          <t>1% 증가시</t>
        </is>
      </c>
      <c r="C57" s="3" t="inlineStr">
        <is>
          <t>1% 감소시</t>
        </is>
      </c>
    </row>
    <row r="58">
      <c r="A58" s="5" t="inlineStr">
        <is>
          <t>할인율</t>
        </is>
      </c>
      <c r="B58" s="7" t="n">
        <v>-166580</v>
      </c>
      <c r="C58" s="7" t="n">
        <v>189150</v>
      </c>
    </row>
    <row r="59">
      <c r="A59" s="5" t="inlineStr">
        <is>
          <t>미래임금상승률</t>
        </is>
      </c>
      <c r="B59" s="7" t="n">
        <v>185507</v>
      </c>
      <c r="C59" s="7" t="n">
        <v>-166693</v>
      </c>
    </row>
    <row r="61">
      <c r="A61" s="2" t="inlineStr">
        <is>
          <t>&lt;전기말&gt;</t>
        </is>
      </c>
    </row>
    <row r="62">
      <c r="B62" s="2" t="inlineStr">
        <is>
          <t>(단위: 천원)</t>
        </is>
      </c>
    </row>
    <row r="63">
      <c r="A63" s="3" t="inlineStr">
        <is>
          <t>구 분</t>
        </is>
      </c>
      <c r="B63" s="3" t="inlineStr">
        <is>
          <t>1% 증가시</t>
        </is>
      </c>
      <c r="C63" s="3" t="inlineStr">
        <is>
          <t>1% 감소시</t>
        </is>
      </c>
    </row>
    <row r="64">
      <c r="A64" s="5" t="inlineStr">
        <is>
          <t>할인율</t>
        </is>
      </c>
      <c r="B64" s="7" t="n">
        <v>-178003</v>
      </c>
      <c r="C64" s="7" t="n">
        <v>202214</v>
      </c>
    </row>
    <row r="65">
      <c r="A65" s="5" t="inlineStr">
        <is>
          <t>미래임금상승률</t>
        </is>
      </c>
      <c r="B65" s="7" t="n">
        <v>197599</v>
      </c>
      <c r="C65" s="7" t="n">
        <v>-177553</v>
      </c>
    </row>
    <row r="67">
      <c r="A67" s="2" t="inlineStr">
        <is>
          <t>상기의 민감도 분석은 다른 가정은 일정하다는 가정하에 산정됐습니다. 주요 보험수리적가정의 변동에 대한 확정급여채무의 민감도는 재무상태표에 인식된 확정급여채무 산정 시 사용한 예측단위접근법과 동일한 방법을 사용하여 산정됐습니다.</t>
        </is>
      </c>
    </row>
    <row r="68">
      <c r="A68" s="2" t="inlineStr">
        <is>
          <t>민감도 분석에 사용된 방법 및 가정은 전기와 동일합니다.</t>
        </is>
      </c>
    </row>
    <row r="69">
      <c r="A69" s="2" t="inlineStr">
        <is>
          <t>(7) 미래 현금흐름에 대한 확정급여제도의 영향확정급여채무의 가중평균만기는 6.90년(전기말: 7.40년)입니다. 당기말과 전기말 현재 할인되지 않은 급여지급액의 만기분석은 아래와 같습니다.&lt;당기말&gt;</t>
        </is>
      </c>
    </row>
    <row r="70">
      <c r="B70" s="2" t="inlineStr">
        <is>
          <t>(단위: 천원)</t>
        </is>
      </c>
    </row>
    <row r="71">
      <c r="A71" s="3" t="inlineStr">
        <is>
          <t>구 분</t>
        </is>
      </c>
      <c r="B71" s="3" t="inlineStr">
        <is>
          <t>1년 미만</t>
        </is>
      </c>
      <c r="C71" s="3" t="inlineStr">
        <is>
          <t>1~2년 미만</t>
        </is>
      </c>
      <c r="D71" s="3" t="inlineStr">
        <is>
          <t>2~5년 미만</t>
        </is>
      </c>
      <c r="E71" s="3" t="inlineStr">
        <is>
          <t>5~10년 미만</t>
        </is>
      </c>
      <c r="F71" s="3" t="inlineStr">
        <is>
          <t>10년 이상</t>
        </is>
      </c>
      <c r="G71" s="3" t="inlineStr">
        <is>
          <t>합 계</t>
        </is>
      </c>
    </row>
    <row r="72">
      <c r="A72" s="5" t="inlineStr">
        <is>
          <t>급여지급액</t>
        </is>
      </c>
      <c r="B72" s="7" t="n">
        <v>249994</v>
      </c>
      <c r="C72" s="7" t="n">
        <v>280886</v>
      </c>
      <c r="D72" s="7" t="n">
        <v>1126004</v>
      </c>
      <c r="E72" s="7" t="n">
        <v>1690457</v>
      </c>
      <c r="F72" s="7" t="n">
        <v>4368217</v>
      </c>
      <c r="G72" s="7" t="n">
        <v>7715558</v>
      </c>
    </row>
    <row r="74">
      <c r="A74" s="2" t="inlineStr">
        <is>
          <t>&lt;전기말&gt;</t>
        </is>
      </c>
    </row>
    <row r="75">
      <c r="B75" s="2" t="inlineStr">
        <is>
          <t>(단위: 천원)</t>
        </is>
      </c>
    </row>
    <row r="76">
      <c r="A76" s="3" t="inlineStr">
        <is>
          <t>구 분</t>
        </is>
      </c>
      <c r="B76" s="3" t="inlineStr">
        <is>
          <t>1년 미만</t>
        </is>
      </c>
      <c r="C76" s="3" t="inlineStr">
        <is>
          <t>1~2년 미만</t>
        </is>
      </c>
      <c r="D76" s="3" t="inlineStr">
        <is>
          <t>2~5년 미만</t>
        </is>
      </c>
      <c r="E76" s="3" t="inlineStr">
        <is>
          <t>5~10년 미만</t>
        </is>
      </c>
      <c r="F76" s="3" t="inlineStr">
        <is>
          <t>10년 이상</t>
        </is>
      </c>
      <c r="G76" s="3" t="inlineStr">
        <is>
          <t>합 계</t>
        </is>
      </c>
    </row>
    <row r="77">
      <c r="A77" s="5" t="inlineStr">
        <is>
          <t>급여지급액</t>
        </is>
      </c>
      <c r="B77" s="7" t="n">
        <v>217770</v>
      </c>
      <c r="C77" s="7" t="n">
        <v>245871</v>
      </c>
      <c r="D77" s="7" t="n">
        <v>1077558</v>
      </c>
      <c r="E77" s="7" t="n">
        <v>1813029</v>
      </c>
      <c r="F77" s="7" t="n">
        <v>4482732</v>
      </c>
      <c r="G77" s="7" t="n">
        <v>7836960</v>
      </c>
    </row>
    <row r="79">
      <c r="A79" s="2" t="inlineStr">
        <is>
          <t>18.2. 기타장단기 종업원급여부채단기종업원급여부채는 12월 급여미지급액 및 연차유급휴가제도에 따라 당기 제공받은 근무용역에 대해 인식한 금액으로 구성되어 있습니다. 장기종업원급여부채는 장기근속종업원에게 근속기간에 따라 지급할 대가로 예상되는 금액입니다.</t>
        </is>
      </c>
    </row>
    <row r="80">
      <c r="B80" s="2" t="inlineStr">
        <is>
          <t>(단위: 천원)</t>
        </is>
      </c>
    </row>
    <row r="81">
      <c r="A81" s="3" t="inlineStr">
        <is>
          <t>구 분</t>
        </is>
      </c>
      <c r="B81" s="3" t="inlineStr">
        <is>
          <t>당기말</t>
        </is>
      </c>
      <c r="C81" s="3" t="inlineStr">
        <is>
          <t>전기말</t>
        </is>
      </c>
    </row>
    <row r="82">
      <c r="A82" s="5" t="inlineStr">
        <is>
          <t>단기종업원급여부채</t>
        </is>
      </c>
      <c r="B82" s="7" t="n">
        <v>262318</v>
      </c>
      <c r="C82" s="7" t="n">
        <v>270527</v>
      </c>
    </row>
    <row r="83">
      <c r="A83" s="5" t="inlineStr">
        <is>
          <t>장기종업원급여부채</t>
        </is>
      </c>
      <c r="B83" s="7" t="n">
        <v>167647</v>
      </c>
      <c r="C83" s="7" t="n">
        <v>126096</v>
      </c>
    </row>
    <row r="84">
      <c r="A84" s="8" t="inlineStr">
        <is>
          <t>합 계</t>
        </is>
      </c>
      <c r="B84" s="9" t="n">
        <v>429965</v>
      </c>
      <c r="C84" s="9" t="n">
        <v>396623</v>
      </c>
    </row>
    <row r="85">
      <c r="A85" s="2" t="inlineStr">
        <is>
          <t xml:space="preserve">  └ 푸팅검증: 합 계(행 84) − Σ(행)</t>
        </is>
      </c>
      <c r="B85" s="17">
        <f>IF(ABS(B84-(SUM(B82:B83)))&lt;1.5,TRUE,B84-(SUM(B82:B83)))</f>
        <v/>
      </c>
      <c r="C85" s="17">
        <f>IF(ABS(C84-(SUM(C82:C83)))&lt;1.5,TRUE,C84-(SUM(C82:C83)))</f>
        <v/>
      </c>
    </row>
  </sheetData>
  <conditionalFormatting sqref="B9">
    <cfRule type="expression" priority="1" dxfId="0">
      <formula>ISNUMBER(B9)</formula>
    </cfRule>
  </conditionalFormatting>
  <conditionalFormatting sqref="B33:B35">
    <cfRule type="expression" priority="2" dxfId="0">
      <formula>ISNUMBER(B33)</formula>
    </cfRule>
  </conditionalFormatting>
  <conditionalFormatting sqref="B43">
    <cfRule type="expression" priority="3" dxfId="0">
      <formula>ISNUMBER(B43)</formula>
    </cfRule>
  </conditionalFormatting>
  <conditionalFormatting sqref="B85">
    <cfRule type="expression" priority="4" dxfId="0">
      <formula>ISNUMBER(B85)</formula>
    </cfRule>
  </conditionalFormatting>
  <conditionalFormatting sqref="C9">
    <cfRule type="expression" priority="5" dxfId="0">
      <formula>ISNUMBER(C9)</formula>
    </cfRule>
  </conditionalFormatting>
  <conditionalFormatting sqref="C33:C35">
    <cfRule type="expression" priority="6" dxfId="0">
      <formula>ISNUMBER(C33)</formula>
    </cfRule>
  </conditionalFormatting>
  <conditionalFormatting sqref="C43">
    <cfRule type="expression" priority="7" dxfId="0">
      <formula>ISNUMBER(C43)</formula>
    </cfRule>
  </conditionalFormatting>
  <conditionalFormatting sqref="C85">
    <cfRule type="expression" priority="8" dxfId="0">
      <formula>ISNUMBER(C85)</formula>
    </cfRule>
  </conditionalFormatting>
  <conditionalFormatting sqref="D33:D35">
    <cfRule type="expression" priority="9" dxfId="0">
      <formula>ISNUMBER(D33)</formula>
    </cfRule>
  </conditionalFormatting>
  <conditionalFormatting sqref="E33:E35">
    <cfRule type="expression" priority="10" dxfId="0">
      <formula>ISNUMBER(E33)</formula>
    </cfRule>
  </conditionalFormatting>
  <conditionalFormatting sqref="F33:F35">
    <cfRule type="expression" priority="11" dxfId="0">
      <formula>ISNUMBER(F33)</formula>
    </cfRule>
  </conditionalFormatting>
  <conditionalFormatting sqref="G33:G35">
    <cfRule type="expression" priority="12" dxfId="0">
      <formula>ISNUMBER(G33)</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05"/>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22" customWidth="1" min="6" max="6"/>
    <col width="17" customWidth="1" min="7" max="7"/>
    <col width="17" customWidth="1" min="8" max="8"/>
    <col width="17" customWidth="1" min="9" max="9"/>
    <col width="17" customWidth="1" min="10" max="10"/>
    <col width="17" customWidth="1" min="11" max="11"/>
  </cols>
  <sheetData>
    <row r="1">
      <c r="A1" s="14" t="inlineStr">
        <is>
          <t>19. 법인세비용</t>
        </is>
      </c>
      <c r="J1" s="15">
        <f>HYPERLINK("#총괄표!A1","◀ 총괄표")</f>
        <v/>
      </c>
    </row>
    <row r="3">
      <c r="A3" s="2" t="inlineStr">
        <is>
          <t>(1) 당기와 전기의 법인세비용의 구성내역은 다음과 같습니다.</t>
        </is>
      </c>
    </row>
    <row r="4">
      <c r="B4" s="2" t="inlineStr">
        <is>
          <t>(단위: 천원)</t>
        </is>
      </c>
    </row>
    <row r="5">
      <c r="A5" s="3" t="inlineStr">
        <is>
          <t>구 분</t>
        </is>
      </c>
      <c r="B5" s="3" t="inlineStr">
        <is>
          <t>당 기</t>
        </is>
      </c>
      <c r="C5" s="3" t="inlineStr">
        <is>
          <t>전 기</t>
        </is>
      </c>
    </row>
    <row r="6">
      <c r="A6" s="5" t="inlineStr">
        <is>
          <t>당기 법인세 부담액</t>
        </is>
      </c>
      <c r="B6" s="7" t="n">
        <v>653767</v>
      </c>
      <c r="C6" s="7" t="n">
        <v>434500</v>
      </c>
    </row>
    <row r="7">
      <c r="A7" s="5" t="inlineStr">
        <is>
          <t>과거기간의 당기법인세에 대하여 당기에 인식한 조정액</t>
        </is>
      </c>
      <c r="B7" s="7" t="n">
        <v>-222499</v>
      </c>
      <c r="C7" s="7" t="n">
        <v>10398</v>
      </c>
    </row>
    <row r="8">
      <c r="A8" s="5" t="inlineStr">
        <is>
          <t>일시적차이로 인한 이연법인세 변동액</t>
        </is>
      </c>
      <c r="B8" s="7" t="n">
        <v>-196154</v>
      </c>
      <c r="C8" s="7" t="n">
        <v>-21592</v>
      </c>
    </row>
    <row r="9">
      <c r="A9" s="5" t="inlineStr">
        <is>
          <t>법인세비용</t>
        </is>
      </c>
      <c r="B9" s="7" t="n">
        <v>235114</v>
      </c>
      <c r="C9" s="7" t="n">
        <v>423306</v>
      </c>
    </row>
    <row r="11">
      <c r="A11" s="2" t="inlineStr">
        <is>
          <t>(2) 당기와 전기 중 기타포괄손익으로 인식되는 항목과 관련된 법인세는 다음과 같습니다.</t>
        </is>
      </c>
    </row>
    <row r="12">
      <c r="B12" s="2" t="inlineStr">
        <is>
          <t>(단위: 천원)</t>
        </is>
      </c>
    </row>
    <row r="13">
      <c r="A13" s="3" t="inlineStr">
        <is>
          <t>구 분</t>
        </is>
      </c>
      <c r="B13" s="3" t="inlineStr">
        <is>
          <t>당 기</t>
        </is>
      </c>
      <c r="C13" s="3" t="inlineStr">
        <is>
          <t>당 기</t>
        </is>
      </c>
      <c r="D13" s="3" t="inlineStr">
        <is>
          <t>당 기</t>
        </is>
      </c>
      <c r="E13" s="3" t="inlineStr">
        <is>
          <t>전 기</t>
        </is>
      </c>
      <c r="F13" s="3" t="inlineStr">
        <is>
          <t>전 기</t>
        </is>
      </c>
      <c r="G13" s="3" t="inlineStr">
        <is>
          <t>전 기</t>
        </is>
      </c>
    </row>
    <row r="14">
      <c r="A14" s="3" t="inlineStr">
        <is>
          <t>구 분</t>
        </is>
      </c>
      <c r="B14" s="3" t="inlineStr">
        <is>
          <t>세전금액</t>
        </is>
      </c>
      <c r="C14" s="3" t="inlineStr">
        <is>
          <t>법인세효과</t>
        </is>
      </c>
      <c r="D14" s="3" t="inlineStr">
        <is>
          <t>세후금액</t>
        </is>
      </c>
      <c r="E14" s="3" t="inlineStr">
        <is>
          <t>세전금액</t>
        </is>
      </c>
      <c r="F14" s="3" t="inlineStr">
        <is>
          <t>법인세효과</t>
        </is>
      </c>
      <c r="G14" s="3" t="inlineStr">
        <is>
          <t>세후금액</t>
        </is>
      </c>
    </row>
    <row r="15">
      <c r="A15" s="5" t="inlineStr">
        <is>
          <t>기타포괄손익-공정가치 측정 지분상품 평가손익</t>
        </is>
      </c>
      <c r="B15" s="7" t="n">
        <v>419571</v>
      </c>
      <c r="C15" s="7" t="n">
        <v>-76457</v>
      </c>
      <c r="D15" s="7" t="n">
        <v>343114</v>
      </c>
      <c r="E15" s="7" t="n">
        <v>-397060</v>
      </c>
      <c r="F15" s="7" t="n">
        <v>82986</v>
      </c>
      <c r="G15" s="7" t="n">
        <v>-314074</v>
      </c>
    </row>
    <row r="16">
      <c r="A16" s="5" t="inlineStr">
        <is>
          <t>순확정급여제도의 재측정요소</t>
        </is>
      </c>
      <c r="B16" s="7" t="n">
        <v>76217</v>
      </c>
      <c r="C16" s="7" t="n">
        <v>-16768</v>
      </c>
      <c r="D16" s="7" t="n">
        <v>59449</v>
      </c>
      <c r="E16" s="7" t="n">
        <v>-125251</v>
      </c>
      <c r="F16" s="7" t="n">
        <v>26177</v>
      </c>
      <c r="G16" s="7" t="n">
        <v>-99074</v>
      </c>
    </row>
    <row r="17">
      <c r="A17" s="8" t="inlineStr">
        <is>
          <t>합 계</t>
        </is>
      </c>
      <c r="B17" s="9" t="n">
        <v>495788</v>
      </c>
      <c r="C17" s="9" t="n">
        <v>-93225</v>
      </c>
      <c r="D17" s="9" t="n">
        <v>402563</v>
      </c>
      <c r="E17" s="9" t="n">
        <v>-522311</v>
      </c>
      <c r="F17" s="9" t="n">
        <v>109163</v>
      </c>
      <c r="G17" s="9" t="n">
        <v>-413148</v>
      </c>
    </row>
    <row r="18">
      <c r="A18" s="2" t="inlineStr">
        <is>
          <t xml:space="preserve">  └ 푸팅검증: 합 계(행 17) − Σ(행)</t>
        </is>
      </c>
      <c r="B18" s="17">
        <f>IF(ABS(B17-(SUM(B15:B16)))&lt;1.5,TRUE,B17-(SUM(B15:B16)))</f>
        <v/>
      </c>
      <c r="C18" s="17">
        <f>IF(ABS(C17-(SUM(C15:C16)))&lt;1.5,TRUE,C17-(SUM(C15:C16)))</f>
        <v/>
      </c>
      <c r="D18" s="17">
        <f>IF(ABS(D17-(SUM(D15:D16)))&lt;1.5,TRUE,D17-(SUM(D15:D16)))</f>
        <v/>
      </c>
      <c r="E18" s="17">
        <f>IF(ABS(E17-(SUM(E15:E16)))&lt;1.5,TRUE,E17-(SUM(E15:E16)))</f>
        <v/>
      </c>
      <c r="F18" s="17">
        <f>IF(ABS(F17-(SUM(F15:F16)))&lt;1.5,TRUE,F17-(SUM(F15:F16)))</f>
        <v/>
      </c>
      <c r="G18" s="17">
        <f>IF(ABS(G17-(SUM(G15:G16)))&lt;1.5,TRUE,G17-(SUM(G15:G16)))</f>
        <v/>
      </c>
    </row>
    <row r="20">
      <c r="A20" s="2" t="inlineStr">
        <is>
          <t>(3) 당기와 전기의 법인세비용차감전순이익과 법인세비용간의 관계는 다음과 같습니다.</t>
        </is>
      </c>
    </row>
    <row r="21">
      <c r="B21" s="2" t="inlineStr">
        <is>
          <t>(단위: 천원)</t>
        </is>
      </c>
    </row>
    <row r="22">
      <c r="A22" s="3" t="inlineStr">
        <is>
          <t>구 분</t>
        </is>
      </c>
      <c r="B22" s="3" t="inlineStr">
        <is>
          <t>당 기</t>
        </is>
      </c>
      <c r="C22" s="3" t="inlineStr">
        <is>
          <t>전 기</t>
        </is>
      </c>
    </row>
    <row r="23">
      <c r="A23" s="5" t="inlineStr">
        <is>
          <t>법인세비용차감전순이익</t>
        </is>
      </c>
      <c r="B23" s="7" t="n">
        <v>2762564</v>
      </c>
      <c r="C23" s="7" t="n">
        <v>2422480</v>
      </c>
    </row>
    <row r="24">
      <c r="A24" s="5" t="inlineStr">
        <is>
          <t>법인세율로 계산된 법인세비용</t>
        </is>
      </c>
      <c r="B24" s="7" t="n">
        <v>555376</v>
      </c>
      <c r="C24" s="7" t="n">
        <v>484298</v>
      </c>
    </row>
    <row r="25">
      <c r="A25" s="5" t="inlineStr">
        <is>
          <t>법인세 효과:</t>
        </is>
      </c>
      <c r="B25" s="4" t="inlineStr"/>
      <c r="C25" s="4" t="inlineStr"/>
    </row>
    <row r="26">
      <c r="A26" s="5" t="inlineStr">
        <is>
          <t>세무상 과세되지 않는 수익</t>
        </is>
      </c>
      <c r="B26" s="7" t="n">
        <v>-2732</v>
      </c>
      <c r="C26" s="7" t="n">
        <v>-1591</v>
      </c>
    </row>
    <row r="27">
      <c r="A27" s="5" t="inlineStr">
        <is>
          <t>세무상 차감되지 않는 비용</t>
        </is>
      </c>
      <c r="B27" s="7" t="n">
        <v>21114</v>
      </c>
      <c r="C27" s="7" t="n">
        <v>21076</v>
      </c>
    </row>
    <row r="28">
      <c r="A28" s="5" t="inlineStr">
        <is>
          <t>세액공제</t>
        </is>
      </c>
      <c r="B28" s="7" t="n">
        <v>-94558</v>
      </c>
      <c r="C28" s="7" t="n">
        <v>-90875</v>
      </c>
    </row>
    <row r="29">
      <c r="A29" s="5" t="inlineStr">
        <is>
          <t>세율변동효과</t>
        </is>
      </c>
      <c r="B29" s="7" t="n">
        <v>-21587</v>
      </c>
      <c r="C29" s="7" t="n">
        <v>0</v>
      </c>
    </row>
    <row r="30">
      <c r="A30" s="5" t="inlineStr">
        <is>
          <t>과거기간의 당기법인세에 대하여 당기에 인식한 조정액</t>
        </is>
      </c>
      <c r="B30" s="7" t="n">
        <v>-222499</v>
      </c>
      <c r="C30" s="7" t="n">
        <v>10398</v>
      </c>
    </row>
    <row r="31">
      <c r="A31" s="5" t="inlineStr">
        <is>
          <t>법인세비용</t>
        </is>
      </c>
      <c r="B31" s="7" t="n">
        <v>235114</v>
      </c>
      <c r="C31" s="7" t="n">
        <v>423306</v>
      </c>
    </row>
    <row r="32">
      <c r="A32" s="5" t="inlineStr">
        <is>
          <t>유효세율</t>
        </is>
      </c>
      <c r="B32" s="4" t="inlineStr">
        <is>
          <t>8.51%</t>
        </is>
      </c>
      <c r="C32" s="4" t="inlineStr">
        <is>
          <t>17.47%</t>
        </is>
      </c>
    </row>
    <row r="34">
      <c r="A34" s="2" t="inlineStr">
        <is>
          <t>(4) 이연법인세자산(부채)의 회수 및 결제 시기는 다음과 같습니다.</t>
        </is>
      </c>
    </row>
    <row r="35">
      <c r="B35" s="2" t="inlineStr">
        <is>
          <t>(단위: 천원)</t>
        </is>
      </c>
    </row>
    <row r="36">
      <c r="A36" s="3" t="inlineStr">
        <is>
          <t>구 분</t>
        </is>
      </c>
      <c r="B36" s="3" t="inlineStr">
        <is>
          <t>당 기</t>
        </is>
      </c>
      <c r="C36" s="3" t="inlineStr">
        <is>
          <t>전 기</t>
        </is>
      </c>
    </row>
    <row r="37">
      <c r="A37" s="5" t="inlineStr">
        <is>
          <t>이연법인세자산</t>
        </is>
      </c>
      <c r="B37" s="4" t="inlineStr"/>
      <c r="C37" s="4" t="inlineStr"/>
    </row>
    <row r="38">
      <c r="A38" s="5" t="inlineStr">
        <is>
          <t>12개월 후에 회수될 이연법인세자산</t>
        </is>
      </c>
      <c r="B38" s="7" t="n">
        <v>801878</v>
      </c>
      <c r="C38" s="7" t="n">
        <v>690164</v>
      </c>
    </row>
    <row r="39">
      <c r="A39" s="5" t="inlineStr">
        <is>
          <t>12개월 이내에 회수될 이연법인세자산</t>
        </is>
      </c>
      <c r="B39" s="7" t="n">
        <v>573393</v>
      </c>
      <c r="C39" s="7" t="n">
        <v>550827</v>
      </c>
    </row>
    <row r="40">
      <c r="A40" s="8" t="inlineStr">
        <is>
          <t>소 계</t>
        </is>
      </c>
      <c r="B40" s="9" t="n">
        <v>1375271</v>
      </c>
      <c r="C40" s="9" t="n">
        <v>1240991</v>
      </c>
    </row>
    <row r="41">
      <c r="A41" s="5" t="inlineStr">
        <is>
          <t>이연법인세부채</t>
        </is>
      </c>
      <c r="B41" s="4" t="inlineStr"/>
      <c r="C41" s="4" t="inlineStr"/>
    </row>
    <row r="42">
      <c r="A42" s="5" t="inlineStr">
        <is>
          <t>12개월 후에 회수될 이연법인세부채</t>
        </is>
      </c>
      <c r="B42" s="7" t="n">
        <v>-650214</v>
      </c>
      <c r="C42" s="7" t="n">
        <v>-614609</v>
      </c>
    </row>
    <row r="43">
      <c r="A43" s="5" t="inlineStr">
        <is>
          <t>12개월 이내에 회수될 이연법인세부채</t>
        </is>
      </c>
      <c r="B43" s="7" t="n">
        <v>-85439</v>
      </c>
      <c r="C43" s="7" t="n">
        <v>-89693</v>
      </c>
    </row>
    <row r="44">
      <c r="A44" s="8" t="inlineStr">
        <is>
          <t>소 계</t>
        </is>
      </c>
      <c r="B44" s="9" t="n">
        <v>-735653</v>
      </c>
      <c r="C44" s="9" t="n">
        <v>-704302</v>
      </c>
    </row>
    <row r="45">
      <c r="A45" s="5" t="inlineStr">
        <is>
          <t>이연법인세순액</t>
        </is>
      </c>
      <c r="B45" s="7" t="n">
        <v>639618</v>
      </c>
      <c r="C45" s="7" t="n">
        <v>536689</v>
      </c>
    </row>
    <row r="46">
      <c r="A46" s="2" t="inlineStr">
        <is>
          <t xml:space="preserve">  └ 푸팅검증: 소 계(행 40) − Σ(행)</t>
        </is>
      </c>
      <c r="B46" s="17">
        <f>IF(ABS(B40-(SUM(B38:B39)))&lt;1.5,TRUE,B40-(SUM(B38:B39)))</f>
        <v/>
      </c>
      <c r="C46" s="17">
        <f>IF(ABS(C40-(SUM(C38:C39)))&lt;1.5,TRUE,C40-(SUM(C38:C39)))</f>
        <v/>
      </c>
    </row>
    <row r="47">
      <c r="A47" s="2" t="inlineStr">
        <is>
          <t xml:space="preserve">  └ 푸팅검증: 소 계(행 44) − Σ(행)</t>
        </is>
      </c>
      <c r="B47" s="17">
        <f>IF(ABS(B44-(SUM(B42:B43)))&lt;1.5,TRUE,B44-(SUM(B42:B43)))</f>
        <v/>
      </c>
      <c r="C47" s="17">
        <f>IF(ABS(C44-(SUM(C42:C43)))&lt;1.5,TRUE,C44-(SUM(C42:C43)))</f>
        <v/>
      </c>
    </row>
    <row r="49">
      <c r="A49" s="2" t="inlineStr">
        <is>
          <t>(5) 당기말과 전기말 현재 이연법인세자산(부채)의 원천 및 변동내역은 다음과 같습니다.</t>
        </is>
      </c>
    </row>
    <row r="50">
      <c r="A50" s="2" t="inlineStr">
        <is>
          <t>&lt;당기말&gt;</t>
        </is>
      </c>
    </row>
    <row r="51">
      <c r="B51" s="2" t="inlineStr">
        <is>
          <t>(단위: 천원)</t>
        </is>
      </c>
    </row>
    <row r="52">
      <c r="A52" s="3" t="inlineStr">
        <is>
          <t>구 분</t>
        </is>
      </c>
      <c r="B52" s="3" t="inlineStr">
        <is>
          <t>당기초잔액</t>
        </is>
      </c>
      <c r="C52" s="3" t="inlineStr">
        <is>
          <t>당기손익</t>
        </is>
      </c>
      <c r="D52" s="3" t="inlineStr">
        <is>
          <t>기타포괄손익</t>
        </is>
      </c>
      <c r="E52" s="3" t="inlineStr">
        <is>
          <t>당기말잔액</t>
        </is>
      </c>
      <c r="F52" s="3" t="inlineStr">
        <is>
          <t>└ 행검증: 당기말잔액 − (당기초잔액 +당기손익 +기타포괄손익)</t>
        </is>
      </c>
    </row>
    <row r="53">
      <c r="A53" s="5" t="inlineStr">
        <is>
          <t>이연법인세자산</t>
        </is>
      </c>
      <c r="B53" s="4" t="inlineStr"/>
      <c r="C53" s="4" t="inlineStr"/>
      <c r="D53" s="4" t="inlineStr"/>
      <c r="E53" s="4" t="inlineStr"/>
    </row>
    <row r="54">
      <c r="A54" s="5" t="inlineStr">
        <is>
          <t>퇴직급여충당부채</t>
        </is>
      </c>
      <c r="B54" s="7" t="n">
        <v>554387</v>
      </c>
      <c r="C54" s="7" t="n">
        <v>49832</v>
      </c>
      <c r="D54" s="7" t="n">
        <v>-16768</v>
      </c>
      <c r="E54" s="7" t="n">
        <v>587451</v>
      </c>
      <c r="F54" s="17">
        <f>IF(ABS(E54-(B54+C54+D54))&lt;1.5,TRUE,E54-(B54+C54+D54))</f>
        <v/>
      </c>
    </row>
    <row r="55">
      <c r="A55" s="5" t="inlineStr">
        <is>
          <t>복구충당부채</t>
        </is>
      </c>
      <c r="B55" s="7" t="n">
        <v>4180</v>
      </c>
      <c r="C55" s="7" t="n">
        <v>220</v>
      </c>
      <c r="D55" s="7" t="n">
        <v>0</v>
      </c>
      <c r="E55" s="7" t="n">
        <v>4400</v>
      </c>
      <c r="F55" s="17">
        <f>IF(ABS(E55-(B55+C55+D55))&lt;1.5,TRUE,E55-(B55+C55+D55))</f>
        <v/>
      </c>
    </row>
    <row r="56">
      <c r="A56" s="5" t="inlineStr">
        <is>
          <t>소송충당부채</t>
        </is>
      </c>
      <c r="B56" s="7" t="n">
        <v>0</v>
      </c>
      <c r="C56" s="7" t="n">
        <v>51680</v>
      </c>
      <c r="D56" s="7" t="n">
        <v>0</v>
      </c>
      <c r="E56" s="7" t="n">
        <v>51680</v>
      </c>
      <c r="F56" s="17">
        <f>IF(ABS(E56-(B56+C56+D56))&lt;1.5,TRUE,E56-(B56+C56+D56))</f>
        <v/>
      </c>
    </row>
    <row r="57">
      <c r="A57" s="5" t="inlineStr">
        <is>
          <t>당기손익-공정가치 측정 금융자산</t>
        </is>
      </c>
      <c r="B57" s="7" t="n">
        <v>0</v>
      </c>
      <c r="C57" s="7" t="n">
        <v>21346</v>
      </c>
      <c r="D57" s="7" t="n">
        <v>0</v>
      </c>
      <c r="E57" s="7" t="n">
        <v>21346</v>
      </c>
      <c r="F57" s="17">
        <f>IF(ABS(E57-(B57+C57+D57))&lt;1.5,TRUE,E57-(B57+C57+D57))</f>
        <v/>
      </c>
    </row>
    <row r="58">
      <c r="A58" s="5" t="inlineStr">
        <is>
          <t>기타포괄손익-공정가치 측정 금융자산</t>
        </is>
      </c>
      <c r="B58" s="7" t="n">
        <v>291132</v>
      </c>
      <c r="C58" s="7" t="n">
        <v>9989</v>
      </c>
      <c r="D58" s="7" t="n">
        <v>-76457</v>
      </c>
      <c r="E58" s="7" t="n">
        <v>224664</v>
      </c>
      <c r="F58" s="17">
        <f>IF(ABS(E58-(B58+C58+D58))&lt;1.5,TRUE,E58-(B58+C58+D58))</f>
        <v/>
      </c>
    </row>
    <row r="59">
      <c r="A59" s="5" t="inlineStr">
        <is>
          <t>미지급비용</t>
        </is>
      </c>
      <c r="B59" s="7" t="n">
        <v>29376</v>
      </c>
      <c r="C59" s="7" t="n">
        <v>404</v>
      </c>
      <c r="D59" s="7" t="n">
        <v>0</v>
      </c>
      <c r="E59" s="7" t="n">
        <v>29780</v>
      </c>
      <c r="F59" s="17">
        <f>IF(ABS(E59-(B59+C59+D59))&lt;1.5,TRUE,E59-(B59+C59+D59))</f>
        <v/>
      </c>
    </row>
    <row r="60">
      <c r="A60" s="5" t="inlineStr">
        <is>
          <t>기타장기종업원급여</t>
        </is>
      </c>
      <c r="B60" s="7" t="n">
        <v>26354</v>
      </c>
      <c r="C60" s="7" t="n">
        <v>10528</v>
      </c>
      <c r="D60" s="7" t="n">
        <v>0</v>
      </c>
      <c r="E60" s="7" t="n">
        <v>36882</v>
      </c>
      <c r="F60" s="17">
        <f>IF(ABS(E60-(B60+C60+D60))&lt;1.5,TRUE,E60-(B60+C60+D60))</f>
        <v/>
      </c>
    </row>
    <row r="61">
      <c r="A61" s="5" t="inlineStr">
        <is>
          <t>대손충당금</t>
        </is>
      </c>
      <c r="B61" s="7" t="n">
        <v>106620</v>
      </c>
      <c r="C61" s="7" t="n">
        <v>-875</v>
      </c>
      <c r="D61" s="7" t="n">
        <v>0</v>
      </c>
      <c r="E61" s="7" t="n">
        <v>105745</v>
      </c>
      <c r="F61" s="17">
        <f>IF(ABS(E61-(B61+C61+D61))&lt;1.5,TRUE,E61-(B61+C61+D61))</f>
        <v/>
      </c>
    </row>
    <row r="62">
      <c r="A62" s="5" t="inlineStr">
        <is>
          <t>무형자산손상차손</t>
        </is>
      </c>
      <c r="B62" s="7" t="n">
        <v>60164</v>
      </c>
      <c r="C62" s="7" t="n">
        <v>3167</v>
      </c>
      <c r="D62" s="7" t="n">
        <v>0</v>
      </c>
      <c r="E62" s="7" t="n">
        <v>63331</v>
      </c>
      <c r="F62" s="17">
        <f>IF(ABS(E62-(B62+C62+D62))&lt;1.5,TRUE,E62-(B62+C62+D62))</f>
        <v/>
      </c>
    </row>
    <row r="63">
      <c r="A63" s="5" t="inlineStr">
        <is>
          <t>감가상각비</t>
        </is>
      </c>
      <c r="B63" s="7" t="n">
        <v>31241</v>
      </c>
      <c r="C63" s="7" t="n">
        <v>41411</v>
      </c>
      <c r="D63" s="7" t="n">
        <v>0</v>
      </c>
      <c r="E63" s="7" t="n">
        <v>72652</v>
      </c>
      <c r="F63" s="17">
        <f>IF(ABS(E63-(B63+C63+D63))&lt;1.5,TRUE,E63-(B63+C63+D63))</f>
        <v/>
      </c>
    </row>
    <row r="64">
      <c r="A64" s="5" t="inlineStr">
        <is>
          <t>리스부채</t>
        </is>
      </c>
      <c r="B64" s="7" t="n">
        <v>61924</v>
      </c>
      <c r="C64" s="7" t="n">
        <v>-35681</v>
      </c>
      <c r="D64" s="7" t="n">
        <v>0</v>
      </c>
      <c r="E64" s="7" t="n">
        <v>26243</v>
      </c>
      <c r="F64" s="17">
        <f>IF(ABS(E64-(B64+C64+D64))&lt;1.5,TRUE,E64-(B64+C64+D64))</f>
        <v/>
      </c>
    </row>
    <row r="65">
      <c r="A65" s="5" t="inlineStr">
        <is>
          <t>재고자산충당금</t>
        </is>
      </c>
      <c r="B65" s="7" t="n">
        <v>75613</v>
      </c>
      <c r="C65" s="7" t="n">
        <v>75484</v>
      </c>
      <c r="D65" s="7" t="n">
        <v>0</v>
      </c>
      <c r="E65" s="7" t="n">
        <v>151097</v>
      </c>
      <c r="F65" s="17">
        <f>IF(ABS(E65-(B65+C65+D65))&lt;1.5,TRUE,E65-(B65+C65+D65))</f>
        <v/>
      </c>
    </row>
    <row r="66">
      <c r="A66" s="8" t="inlineStr">
        <is>
          <t>소 계</t>
        </is>
      </c>
      <c r="B66" s="9" t="n">
        <v>1240991</v>
      </c>
      <c r="C66" s="9" t="n">
        <v>227505</v>
      </c>
      <c r="D66" s="9" t="n">
        <v>-93225</v>
      </c>
      <c r="E66" s="9" t="n">
        <v>1375271</v>
      </c>
      <c r="F66" s="17">
        <f>IF(ABS(E66-(B66+C66+D66))&lt;1.5,TRUE,E66-(B66+C66+D66))</f>
        <v/>
      </c>
    </row>
    <row r="67">
      <c r="A67" s="5" t="inlineStr">
        <is>
          <t>이연법인세부채</t>
        </is>
      </c>
      <c r="B67" s="4" t="inlineStr"/>
      <c r="C67" s="4" t="inlineStr"/>
      <c r="D67" s="4" t="inlineStr"/>
      <c r="E67" s="4" t="inlineStr"/>
    </row>
    <row r="68">
      <c r="A68" s="5" t="inlineStr">
        <is>
          <t>퇴직보험예치금</t>
        </is>
      </c>
      <c r="B68" s="7" t="n">
        <v>-585619</v>
      </c>
      <c r="C68" s="7" t="n">
        <v>-33272</v>
      </c>
      <c r="D68" s="7" t="n">
        <v>0</v>
      </c>
      <c r="E68" s="7" t="n">
        <v>-618891</v>
      </c>
      <c r="F68" s="17">
        <f>IF(ABS(E68-(B68+C68+D68))&lt;1.5,TRUE,E68-(B68+C68+D68))</f>
        <v/>
      </c>
    </row>
    <row r="69">
      <c r="A69" s="5" t="inlineStr">
        <is>
          <t>미수수익</t>
        </is>
      </c>
      <c r="B69" s="7" t="n">
        <v>-9746</v>
      </c>
      <c r="C69" s="7" t="n">
        <v>9243</v>
      </c>
      <c r="D69" s="7" t="n">
        <v>0</v>
      </c>
      <c r="E69" s="7" t="n">
        <v>-503</v>
      </c>
      <c r="F69" s="17">
        <f>IF(ABS(E69-(B69+C69+D69))&lt;1.5,TRUE,E69-(B69+C69+D69))</f>
        <v/>
      </c>
    </row>
    <row r="70">
      <c r="A70" s="5" t="inlineStr">
        <is>
          <t>당기손익-공정가치 측정 금융자산</t>
        </is>
      </c>
      <c r="B70" s="7" t="n">
        <v>-28990</v>
      </c>
      <c r="C70" s="7" t="n">
        <v>-3114</v>
      </c>
      <c r="D70" s="7" t="n">
        <v>0</v>
      </c>
      <c r="E70" s="7" t="n">
        <v>-32104</v>
      </c>
      <c r="F70" s="17">
        <f>IF(ABS(E70-(B70+C70+D70))&lt;1.5,TRUE,E70-(B70+C70+D70))</f>
        <v/>
      </c>
    </row>
    <row r="71">
      <c r="A71" s="5" t="inlineStr">
        <is>
          <t>사용권자산</t>
        </is>
      </c>
      <c r="B71" s="7" t="n">
        <v>-79947</v>
      </c>
      <c r="C71" s="7" t="n">
        <v>-4208</v>
      </c>
      <c r="D71" s="7" t="n">
        <v>0</v>
      </c>
      <c r="E71" s="7" t="n">
        <v>-84155</v>
      </c>
      <c r="F71" s="17">
        <f>IF(ABS(E71-(B71+C71+D71))&lt;1.5,TRUE,E71-(B71+C71+D71))</f>
        <v/>
      </c>
    </row>
    <row r="72">
      <c r="A72" s="8" t="inlineStr">
        <is>
          <t>소 계</t>
        </is>
      </c>
      <c r="B72" s="9" t="n">
        <v>-704302</v>
      </c>
      <c r="C72" s="9" t="n">
        <v>-31351</v>
      </c>
      <c r="D72" s="9" t="n">
        <v>0</v>
      </c>
      <c r="E72" s="9" t="n">
        <v>-735653</v>
      </c>
      <c r="F72" s="17">
        <f>IF(ABS(E72-(B72+C72+D72))&lt;1.5,TRUE,E72-(B72+C72+D72))</f>
        <v/>
      </c>
    </row>
    <row r="73">
      <c r="A73" s="8" t="inlineStr">
        <is>
          <t>순 액</t>
        </is>
      </c>
      <c r="B73" s="9" t="n">
        <v>536689</v>
      </c>
      <c r="C73" s="9" t="n">
        <v>196154</v>
      </c>
      <c r="D73" s="9" t="n">
        <v>-93225</v>
      </c>
      <c r="E73" s="9" t="n">
        <v>639618</v>
      </c>
      <c r="F73" s="17">
        <f>IF(ABS(E73-(B73+C73+D73))&lt;1.5,TRUE,E73-(B73+C73+D73))</f>
        <v/>
      </c>
    </row>
    <row r="74">
      <c r="A74" s="2" t="inlineStr">
        <is>
          <t xml:space="preserve">  └ 푸팅검증: 소 계(행 66) − Σ(행)</t>
        </is>
      </c>
      <c r="B74" s="17">
        <f>IF(ABS(B66-(SUM(B54:B65)))&lt;1.5,TRUE,B66-(SUM(B54:B65)))</f>
        <v/>
      </c>
      <c r="C74" s="17">
        <f>IF(ABS(C66-(SUM(C54:C65)))&lt;1.5,TRUE,C66-(SUM(C54:C65)))</f>
        <v/>
      </c>
      <c r="D74" s="17">
        <f>IF(ABS(D66-(SUM(D54:D65)))&lt;1.5,TRUE,D66-(SUM(D54:D65)))</f>
        <v/>
      </c>
      <c r="E74" s="17">
        <f>IF(ABS(E66-(SUM(E54:E65)))&lt;1.5,TRUE,E66-(SUM(E54:E65)))</f>
        <v/>
      </c>
    </row>
    <row r="75">
      <c r="A75" s="2" t="inlineStr">
        <is>
          <t xml:space="preserve">  └ 푸팅검증: 소 계(행 72) − Σ(행)</t>
        </is>
      </c>
      <c r="B75" s="17">
        <f>IF(ABS(B72-(SUM(B68:B71)))&lt;1.5,TRUE,B72-(SUM(B68:B71)))</f>
        <v/>
      </c>
      <c r="C75" s="17">
        <f>IF(ABS(C72-(SUM(C68:C71)))&lt;1.5,TRUE,C72-(SUM(C68:C71)))</f>
        <v/>
      </c>
      <c r="E75" s="17">
        <f>IF(ABS(E72-(SUM(E68:E71)))&lt;1.5,TRUE,E72-(SUM(E68:E71)))</f>
        <v/>
      </c>
    </row>
    <row r="77">
      <c r="A77" s="2" t="inlineStr">
        <is>
          <t>&lt;전기말&gt;</t>
        </is>
      </c>
    </row>
    <row r="78">
      <c r="B78" s="2" t="inlineStr">
        <is>
          <t>(단위: 천원)</t>
        </is>
      </c>
    </row>
    <row r="79">
      <c r="A79" s="3" t="inlineStr">
        <is>
          <t>구 분</t>
        </is>
      </c>
      <c r="B79" s="3" t="inlineStr">
        <is>
          <t>전기초잔액</t>
        </is>
      </c>
      <c r="C79" s="3" t="inlineStr">
        <is>
          <t>당기손익</t>
        </is>
      </c>
      <c r="D79" s="3" t="inlineStr">
        <is>
          <t>기타포괄손익</t>
        </is>
      </c>
      <c r="E79" s="3" t="inlineStr">
        <is>
          <t>전기말잔액</t>
        </is>
      </c>
      <c r="F79" s="3" t="inlineStr">
        <is>
          <t>└ 행검증: 전기말잔액 − (전기초잔액 +당기손익 +기타포괄손익)</t>
        </is>
      </c>
    </row>
    <row r="80">
      <c r="A80" s="5" t="inlineStr">
        <is>
          <t>이연법인세자산</t>
        </is>
      </c>
      <c r="B80" s="4" t="inlineStr"/>
      <c r="C80" s="4" t="inlineStr"/>
      <c r="D80" s="4" t="inlineStr"/>
      <c r="E80" s="4" t="inlineStr"/>
    </row>
    <row r="81">
      <c r="A81" s="5" t="inlineStr">
        <is>
          <t>퇴직급여충당부채</t>
        </is>
      </c>
      <c r="B81" s="7" t="n">
        <v>488868</v>
      </c>
      <c r="C81" s="7" t="n">
        <v>39342</v>
      </c>
      <c r="D81" s="7" t="n">
        <v>26177</v>
      </c>
      <c r="E81" s="7" t="n">
        <v>554387</v>
      </c>
      <c r="F81" s="17">
        <f>IF(ABS(E81-(B81+C81+D81))&lt;1.5,TRUE,E81-(B81+C81+D81))</f>
        <v/>
      </c>
    </row>
    <row r="82">
      <c r="A82" s="5" t="inlineStr">
        <is>
          <t>복구충당부채</t>
        </is>
      </c>
      <c r="B82" s="7" t="n">
        <v>4180</v>
      </c>
      <c r="C82" s="7" t="n">
        <v>0</v>
      </c>
      <c r="D82" s="7" t="n">
        <v>0</v>
      </c>
      <c r="E82" s="7" t="n">
        <v>4180</v>
      </c>
      <c r="F82" s="17">
        <f>IF(ABS(E82-(B82+C82+D82))&lt;1.5,TRUE,E82-(B82+C82+D82))</f>
        <v/>
      </c>
    </row>
    <row r="83">
      <c r="A83" s="5" t="inlineStr">
        <is>
          <t>기타포괄손익-공정가치 측정 금융자산</t>
        </is>
      </c>
      <c r="B83" s="7" t="n">
        <v>201814</v>
      </c>
      <c r="C83" s="7" t="n">
        <v>6332</v>
      </c>
      <c r="D83" s="7" t="n">
        <v>82986</v>
      </c>
      <c r="E83" s="7" t="n">
        <v>291132</v>
      </c>
      <c r="F83" s="17">
        <f>IF(ABS(E83-(B83+C83+D83))&lt;1.5,TRUE,E83-(B83+C83+D83))</f>
        <v/>
      </c>
    </row>
    <row r="84">
      <c r="A84" s="5" t="inlineStr">
        <is>
          <t>미지급비용</t>
        </is>
      </c>
      <c r="B84" s="7" t="n">
        <v>27921</v>
      </c>
      <c r="C84" s="7" t="n">
        <v>1455</v>
      </c>
      <c r="D84" s="7" t="n">
        <v>0</v>
      </c>
      <c r="E84" s="7" t="n">
        <v>29376</v>
      </c>
      <c r="F84" s="17">
        <f>IF(ABS(E84-(B84+C84+D84))&lt;1.5,TRUE,E84-(B84+C84+D84))</f>
        <v/>
      </c>
    </row>
    <row r="85">
      <c r="A85" s="5" t="inlineStr">
        <is>
          <t>기타장기종업원급여</t>
        </is>
      </c>
      <c r="B85" s="7" t="n">
        <v>20877</v>
      </c>
      <c r="C85" s="7" t="n">
        <v>5477</v>
      </c>
      <c r="D85" s="7" t="n">
        <v>0</v>
      </c>
      <c r="E85" s="7" t="n">
        <v>26354</v>
      </c>
      <c r="F85" s="17">
        <f>IF(ABS(E85-(B85+C85+D85))&lt;1.5,TRUE,E85-(B85+C85+D85))</f>
        <v/>
      </c>
    </row>
    <row r="86">
      <c r="A86" s="5" t="inlineStr">
        <is>
          <t>대손충당금</t>
        </is>
      </c>
      <c r="B86" s="7" t="n">
        <v>75339</v>
      </c>
      <c r="C86" s="7" t="n">
        <v>31281</v>
      </c>
      <c r="D86" s="7" t="n">
        <v>0</v>
      </c>
      <c r="E86" s="7" t="n">
        <v>106620</v>
      </c>
      <c r="F86" s="17">
        <f>IF(ABS(E86-(B86+C86+D86))&lt;1.5,TRUE,E86-(B86+C86+D86))</f>
        <v/>
      </c>
    </row>
    <row r="87">
      <c r="A87" s="5" t="inlineStr">
        <is>
          <t>무형자산손상차손</t>
        </is>
      </c>
      <c r="B87" s="7" t="n">
        <v>110324</v>
      </c>
      <c r="C87" s="7" t="n">
        <v>-50160</v>
      </c>
      <c r="D87" s="7" t="n">
        <v>0</v>
      </c>
      <c r="E87" s="7" t="n">
        <v>60164</v>
      </c>
      <c r="F87" s="17">
        <f>IF(ABS(E87-(B87+C87+D87))&lt;1.5,TRUE,E87-(B87+C87+D87))</f>
        <v/>
      </c>
    </row>
    <row r="88">
      <c r="A88" s="5" t="inlineStr">
        <is>
          <t>감가상각비</t>
        </is>
      </c>
      <c r="B88" s="7" t="n">
        <v>59487</v>
      </c>
      <c r="C88" s="7" t="n">
        <v>-28246</v>
      </c>
      <c r="D88" s="7" t="n">
        <v>0</v>
      </c>
      <c r="E88" s="7" t="n">
        <v>31241</v>
      </c>
      <c r="F88" s="17">
        <f>IF(ABS(E88-(B88+C88+D88))&lt;1.5,TRUE,E88-(B88+C88+D88))</f>
        <v/>
      </c>
    </row>
    <row r="89">
      <c r="A89" s="5" t="inlineStr">
        <is>
          <t>리스부채</t>
        </is>
      </c>
      <c r="B89" s="7" t="n">
        <v>30743</v>
      </c>
      <c r="C89" s="7" t="n">
        <v>31181</v>
      </c>
      <c r="D89" s="7" t="n">
        <v>0</v>
      </c>
      <c r="E89" s="7" t="n">
        <v>61924</v>
      </c>
      <c r="F89" s="17">
        <f>IF(ABS(E89-(B89+C89+D89))&lt;1.5,TRUE,E89-(B89+C89+D89))</f>
        <v/>
      </c>
    </row>
    <row r="90">
      <c r="A90" s="5" t="inlineStr">
        <is>
          <t>재고자산충당금</t>
        </is>
      </c>
      <c r="B90" s="7" t="n">
        <v>0</v>
      </c>
      <c r="C90" s="7" t="n">
        <v>75613</v>
      </c>
      <c r="D90" s="7" t="n">
        <v>0</v>
      </c>
      <c r="E90" s="7" t="n">
        <v>75613</v>
      </c>
      <c r="F90" s="17">
        <f>IF(ABS(E90-(B90+C90+D90))&lt;1.5,TRUE,E90-(B90+C90+D90))</f>
        <v/>
      </c>
    </row>
    <row r="91">
      <c r="A91" s="8" t="inlineStr">
        <is>
          <t>소 계</t>
        </is>
      </c>
      <c r="B91" s="9" t="n">
        <v>1019553</v>
      </c>
      <c r="C91" s="9" t="n">
        <v>112275</v>
      </c>
      <c r="D91" s="9" t="n">
        <v>109163</v>
      </c>
      <c r="E91" s="9" t="n">
        <v>1240991</v>
      </c>
      <c r="F91" s="17">
        <f>IF(ABS(E91-(B91+C91+D91))&lt;1.5,TRUE,E91-(B91+C91+D91))</f>
        <v/>
      </c>
    </row>
    <row r="92">
      <c r="A92" s="5" t="inlineStr">
        <is>
          <t>이연법인세부채</t>
        </is>
      </c>
      <c r="B92" s="4" t="inlineStr"/>
      <c r="C92" s="4" t="inlineStr"/>
      <c r="D92" s="4" t="inlineStr"/>
      <c r="E92" s="4" t="inlineStr"/>
    </row>
    <row r="93">
      <c r="A93" s="5" t="inlineStr">
        <is>
          <t>퇴직보험예치금</t>
        </is>
      </c>
      <c r="B93" s="7" t="n">
        <v>-506482</v>
      </c>
      <c r="C93" s="7" t="n">
        <v>-79137</v>
      </c>
      <c r="D93" s="7" t="n">
        <v>0</v>
      </c>
      <c r="E93" s="7" t="n">
        <v>-585619</v>
      </c>
      <c r="F93" s="17">
        <f>IF(ABS(E93-(B93+C93+D93))&lt;1.5,TRUE,E93-(B93+C93+D93))</f>
        <v/>
      </c>
    </row>
    <row r="94">
      <c r="A94" s="5" t="inlineStr">
        <is>
          <t>미수수익</t>
        </is>
      </c>
      <c r="B94" s="7" t="n">
        <v>-1789</v>
      </c>
      <c r="C94" s="7" t="n">
        <v>-7957</v>
      </c>
      <c r="D94" s="7" t="n">
        <v>0</v>
      </c>
      <c r="E94" s="7" t="n">
        <v>-9746</v>
      </c>
      <c r="F94" s="17">
        <f>IF(ABS(E94-(B94+C94+D94))&lt;1.5,TRUE,E94-(B94+C94+D94))</f>
        <v/>
      </c>
    </row>
    <row r="95">
      <c r="A95" s="5" t="inlineStr">
        <is>
          <t>당기손익-공정가치 측정 금융자산</t>
        </is>
      </c>
      <c r="B95" s="7" t="n">
        <v>-26118</v>
      </c>
      <c r="C95" s="7" t="n">
        <v>-2872</v>
      </c>
      <c r="D95" s="7" t="n">
        <v>0</v>
      </c>
      <c r="E95" s="7" t="n">
        <v>-28990</v>
      </c>
      <c r="F95" s="17">
        <f>IF(ABS(E95-(B95+C95+D95))&lt;1.5,TRUE,E95-(B95+C95+D95))</f>
        <v/>
      </c>
    </row>
    <row r="96">
      <c r="A96" s="5" t="inlineStr">
        <is>
          <t>사용권자산</t>
        </is>
      </c>
      <c r="B96" s="7" t="n">
        <v>-79230</v>
      </c>
      <c r="C96" s="7" t="n">
        <v>-717</v>
      </c>
      <c r="D96" s="7" t="n">
        <v>0</v>
      </c>
      <c r="E96" s="7" t="n">
        <v>-79947</v>
      </c>
      <c r="F96" s="17">
        <f>IF(ABS(E96-(B96+C96+D96))&lt;1.5,TRUE,E96-(B96+C96+D96))</f>
        <v/>
      </c>
    </row>
    <row r="97">
      <c r="A97" s="8" t="inlineStr">
        <is>
          <t>소 계</t>
        </is>
      </c>
      <c r="B97" s="9" t="n">
        <v>-613619</v>
      </c>
      <c r="C97" s="9" t="n">
        <v>-90683</v>
      </c>
      <c r="D97" s="9" t="n">
        <v>0</v>
      </c>
      <c r="E97" s="9" t="n">
        <v>-704302</v>
      </c>
      <c r="F97" s="17">
        <f>IF(ABS(E97-(B97+C97+D97))&lt;1.5,TRUE,E97-(B97+C97+D97))</f>
        <v/>
      </c>
    </row>
    <row r="98">
      <c r="A98" s="8" t="inlineStr">
        <is>
          <t>순 액</t>
        </is>
      </c>
      <c r="B98" s="9" t="n">
        <v>405934</v>
      </c>
      <c r="C98" s="9" t="n">
        <v>21592</v>
      </c>
      <c r="D98" s="9" t="n">
        <v>109163</v>
      </c>
      <c r="E98" s="9" t="n">
        <v>536689</v>
      </c>
      <c r="F98" s="17">
        <f>IF(ABS(E98-(B98+C98+D98))&lt;1.5,TRUE,E98-(B98+C98+D98))</f>
        <v/>
      </c>
    </row>
    <row r="99">
      <c r="A99" s="2" t="inlineStr">
        <is>
          <t xml:space="preserve">  └ 푸팅검증: 소 계(행 91) − Σ(행)</t>
        </is>
      </c>
      <c r="B99" s="17">
        <f>IF(ABS(B91-(SUM(B81:B90)))&lt;1.5,TRUE,B91-(SUM(B81:B90)))</f>
        <v/>
      </c>
      <c r="C99" s="17">
        <f>IF(ABS(C91-(SUM(C81:C90)))&lt;1.5,TRUE,C91-(SUM(C81:C90)))</f>
        <v/>
      </c>
      <c r="D99" s="17">
        <f>IF(ABS(D91-(SUM(D81:D90)))&lt;1.5,TRUE,D91-(SUM(D81:D90)))</f>
        <v/>
      </c>
      <c r="E99" s="17">
        <f>IF(ABS(E91-(SUM(E81:E90)))&lt;1.5,TRUE,E91-(SUM(E81:E90)))</f>
        <v/>
      </c>
    </row>
    <row r="100">
      <c r="A100" s="2" t="inlineStr">
        <is>
          <t xml:space="preserve">  └ 푸팅검증: 소 계(행 97) − Σ(행)</t>
        </is>
      </c>
      <c r="B100" s="17">
        <f>IF(ABS(B97-(SUM(B93:B96)))&lt;1.5,TRUE,B97-(SUM(B93:B96)))</f>
        <v/>
      </c>
      <c r="C100" s="17">
        <f>IF(ABS(C97-(SUM(C93:C96)))&lt;1.5,TRUE,C97-(SUM(C93:C96)))</f>
        <v/>
      </c>
      <c r="E100" s="17">
        <f>IF(ABS(E97-(SUM(E93:E96)))&lt;1.5,TRUE,E97-(SUM(E93:E96)))</f>
        <v/>
      </c>
    </row>
    <row r="102">
      <c r="A102" s="2" t="inlineStr">
        <is>
          <t>(6) 보고기간 종료일 현재 누적일시적차이의 법인세효과는 당해 일시적차이가 소멸되는 회계연도의 미래 예상세율을 적용하여 계산하였으며, 2025년 12월 31일 이후 실현될 것으로 예상되는 이연법인세는 22.0%(전기말: 20.9%)를 적용하여 산정하였습니다.(7) 보고기간 종료일 현재 당사는 유형자산손상과 관련한 차감할 일시적 차이 649,907천원(전기말: 649,907천원)에 대하여는 관련된 일시적 차이의 소멸시점을 예측할 수 없어 이연법인세자산을 인식하지 아니하였습니다.</t>
        </is>
      </c>
    </row>
    <row r="104">
      <c r="A104" s="10" t="inlineStr">
        <is>
          <t>■ 크로스 참조</t>
        </is>
      </c>
    </row>
    <row r="105">
      <c r="A105" s="2" t="inlineStr">
        <is>
          <t>주19 법인세비용 = PL 법인세비용</t>
        </is>
      </c>
      <c r="B105" s="17">
        <f>IF(ABS(B9*1000-'PL'!B16)&lt;5000,TRUE,B9*1000-'PL'!B16)</f>
        <v/>
      </c>
      <c r="C105" s="2" t="inlineStr">
        <is>
          <t>→ PL!B16</t>
        </is>
      </c>
    </row>
  </sheetData>
  <conditionalFormatting sqref="B18">
    <cfRule type="expression" priority="1" dxfId="0">
      <formula>ISNUMBER(B18)</formula>
    </cfRule>
  </conditionalFormatting>
  <conditionalFormatting sqref="B46:B47">
    <cfRule type="expression" priority="2" dxfId="0">
      <formula>ISNUMBER(B46)</formula>
    </cfRule>
  </conditionalFormatting>
  <conditionalFormatting sqref="B74:B75">
    <cfRule type="expression" priority="3" dxfId="0">
      <formula>ISNUMBER(B74)</formula>
    </cfRule>
  </conditionalFormatting>
  <conditionalFormatting sqref="B99:B100">
    <cfRule type="expression" priority="4" dxfId="0">
      <formula>ISNUMBER(B99)</formula>
    </cfRule>
  </conditionalFormatting>
  <conditionalFormatting sqref="C18">
    <cfRule type="expression" priority="5" dxfId="0">
      <formula>ISNUMBER(C18)</formula>
    </cfRule>
  </conditionalFormatting>
  <conditionalFormatting sqref="C46:C47">
    <cfRule type="expression" priority="6" dxfId="0">
      <formula>ISNUMBER(C46)</formula>
    </cfRule>
  </conditionalFormatting>
  <conditionalFormatting sqref="C74:C75">
    <cfRule type="expression" priority="7" dxfId="0">
      <formula>ISNUMBER(C74)</formula>
    </cfRule>
  </conditionalFormatting>
  <conditionalFormatting sqref="C99:C100">
    <cfRule type="expression" priority="8" dxfId="0">
      <formula>ISNUMBER(C99)</formula>
    </cfRule>
  </conditionalFormatting>
  <conditionalFormatting sqref="D18">
    <cfRule type="expression" priority="9" dxfId="0">
      <formula>ISNUMBER(D18)</formula>
    </cfRule>
  </conditionalFormatting>
  <conditionalFormatting sqref="D74">
    <cfRule type="expression" priority="10" dxfId="0">
      <formula>ISNUMBER(D74)</formula>
    </cfRule>
  </conditionalFormatting>
  <conditionalFormatting sqref="D99">
    <cfRule type="expression" priority="11" dxfId="0">
      <formula>ISNUMBER(D99)</formula>
    </cfRule>
  </conditionalFormatting>
  <conditionalFormatting sqref="E18">
    <cfRule type="expression" priority="12" dxfId="0">
      <formula>ISNUMBER(E18)</formula>
    </cfRule>
  </conditionalFormatting>
  <conditionalFormatting sqref="E74:E75">
    <cfRule type="expression" priority="13" dxfId="0">
      <formula>ISNUMBER(E74)</formula>
    </cfRule>
  </conditionalFormatting>
  <conditionalFormatting sqref="E99:E100">
    <cfRule type="expression" priority="14" dxfId="0">
      <formula>ISNUMBER(E99)</formula>
    </cfRule>
  </conditionalFormatting>
  <conditionalFormatting sqref="F18">
    <cfRule type="expression" priority="15" dxfId="0">
      <formula>ISNUMBER(F18)</formula>
    </cfRule>
  </conditionalFormatting>
  <conditionalFormatting sqref="F54:F66">
    <cfRule type="expression" priority="16" dxfId="0">
      <formula>ISNUMBER(F54)</formula>
    </cfRule>
  </conditionalFormatting>
  <conditionalFormatting sqref="F68:F73">
    <cfRule type="expression" priority="17" dxfId="0">
      <formula>ISNUMBER(F68)</formula>
    </cfRule>
  </conditionalFormatting>
  <conditionalFormatting sqref="F81:F91">
    <cfRule type="expression" priority="18" dxfId="0">
      <formula>ISNUMBER(F81)</formula>
    </cfRule>
  </conditionalFormatting>
  <conditionalFormatting sqref="F93:F98">
    <cfRule type="expression" priority="19" dxfId="0">
      <formula>ISNUMBER(F93)</formula>
    </cfRule>
  </conditionalFormatting>
  <conditionalFormatting sqref="G18">
    <cfRule type="expression" priority="20" dxfId="0">
      <formula>ISNUMBER(G18)</formula>
    </cfRule>
  </conditionalFormatting>
  <conditionalFormatting sqref="B105">
    <cfRule type="expression" priority="21" dxfId="0">
      <formula>ISNUMBER(B105)</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3"/>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20. 자본금</t>
        </is>
      </c>
      <c r="J1" s="15">
        <f>HYPERLINK("#총괄표!A1","◀ 총괄표")</f>
        <v/>
      </c>
    </row>
    <row r="3">
      <c r="A3" s="2" t="inlineStr">
        <is>
          <t>당사가 발행할 주식의 총수, 발행한 주식의 수 및 1주당 금액은 각각 38,400,000주, 12,000,000주 및 500원입니다. 당기와 전기 중 자본금의 변동사항은 발생하지 않았습니다.</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21. 자본잉여금</t>
        </is>
      </c>
      <c r="J1" s="15">
        <f>HYPERLINK("#총괄표!A1","◀ 총괄표")</f>
        <v/>
      </c>
    </row>
    <row r="3">
      <c r="A3" s="2" t="inlineStr">
        <is>
          <t>당기말과 전기말 현재 자본잉여금의 내역은 다음과 같습니다.</t>
        </is>
      </c>
    </row>
    <row r="4">
      <c r="B4" s="2" t="inlineStr">
        <is>
          <t>(단위: 천원)</t>
        </is>
      </c>
    </row>
    <row r="5">
      <c r="A5" s="3" t="inlineStr">
        <is>
          <t>구 분</t>
        </is>
      </c>
      <c r="B5" s="3" t="inlineStr">
        <is>
          <t>당기말</t>
        </is>
      </c>
      <c r="C5" s="3" t="inlineStr">
        <is>
          <t>전기말</t>
        </is>
      </c>
    </row>
    <row r="6">
      <c r="A6" s="5" t="inlineStr">
        <is>
          <t>주식발행초과금</t>
        </is>
      </c>
      <c r="B6" s="7" t="n">
        <v>2385104</v>
      </c>
      <c r="C6" s="7" t="n">
        <v>2385104</v>
      </c>
    </row>
    <row r="7">
      <c r="A7" s="5" t="inlineStr">
        <is>
          <t>기타자본잉여금</t>
        </is>
      </c>
      <c r="B7" s="7" t="n">
        <v>27404</v>
      </c>
      <c r="C7" s="7" t="n">
        <v>27404</v>
      </c>
    </row>
    <row r="8">
      <c r="A8" s="8" t="inlineStr">
        <is>
          <t>합 계</t>
        </is>
      </c>
      <c r="B8" s="9" t="n">
        <v>2412508</v>
      </c>
      <c r="C8" s="9" t="n">
        <v>2412508</v>
      </c>
    </row>
    <row r="9">
      <c r="A9" s="2" t="inlineStr">
        <is>
          <t xml:space="preserve">  └ 푸팅검증: 합 계(행 8) − Σ(행)</t>
        </is>
      </c>
      <c r="B9" s="17">
        <f>IF(ABS(B8-(SUM(B6:B7)))&lt;1.5,TRUE,B8-(SUM(B6:B7)))</f>
        <v/>
      </c>
      <c r="C9" s="17">
        <f>IF(ABS(C8-(SUM(C6:C7)))&lt;1.5,TRUE,C8-(SUM(C6:C7)))</f>
        <v/>
      </c>
    </row>
    <row r="12">
      <c r="A12" s="10" t="inlineStr">
        <is>
          <t>■ 크로스 참조</t>
        </is>
      </c>
    </row>
    <row r="13">
      <c r="A13" s="2" t="inlineStr">
        <is>
          <t>주21 자본잉여금 합계 = BS 자본잉여금</t>
        </is>
      </c>
      <c r="B13" s="17">
        <f>IF(ABS(B8*1000-'BS'!B38)&lt;5000,TRUE,B8*1000-'BS'!B38)</f>
        <v/>
      </c>
      <c r="C13" s="2" t="inlineStr">
        <is>
          <t>→ BS!B38</t>
        </is>
      </c>
    </row>
  </sheetData>
  <conditionalFormatting sqref="B9">
    <cfRule type="expression" priority="1" dxfId="0">
      <formula>ISNUMBER(B9)</formula>
    </cfRule>
  </conditionalFormatting>
  <conditionalFormatting sqref="C9">
    <cfRule type="expression" priority="2" dxfId="0">
      <formula>ISNUMBER(C9)</formula>
    </cfRule>
  </conditionalFormatting>
  <conditionalFormatting sqref="B13">
    <cfRule type="expression" priority="3" dxfId="0">
      <formula>ISNUMBER(B13)</formula>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30"/>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22. 주식기준보상</t>
        </is>
      </c>
      <c r="J1" s="15">
        <f>HYPERLINK("#총괄표!A1","◀ 총괄표")</f>
        <v/>
      </c>
    </row>
    <row r="3">
      <c r="A3" s="2" t="inlineStr">
        <is>
          <t>당사는 당사의 임원에 대한 주식기준보상제도를 시행하고 있습니다. 임원에게 부여된 주식선택권은 행사시점에 당사의 주식으로 전환됩니다.(1) 당기말 현재 주식선택권의 주요 사항은 다음과 같습니다.</t>
        </is>
      </c>
    </row>
    <row r="4">
      <c r="A4" s="3" t="inlineStr">
        <is>
          <t>구 분</t>
        </is>
      </c>
      <c r="B4" s="3" t="inlineStr">
        <is>
          <t>3차</t>
        </is>
      </c>
      <c r="C4" s="3" t="inlineStr">
        <is>
          <t>4차</t>
        </is>
      </c>
    </row>
    <row r="5">
      <c r="A5" s="5" t="inlineStr">
        <is>
          <t>권리부여일</t>
        </is>
      </c>
      <c r="B5" s="4" t="inlineStr">
        <is>
          <t>2022년 03월 29일</t>
        </is>
      </c>
      <c r="C5" s="4" t="inlineStr">
        <is>
          <t>2024년 03월 26일</t>
        </is>
      </c>
    </row>
    <row r="6">
      <c r="A6" s="5" t="inlineStr">
        <is>
          <t>부여주식수</t>
        </is>
      </c>
      <c r="B6" s="7" t="n">
        <v>35000</v>
      </c>
      <c r="C6" s="7" t="n">
        <v>30000</v>
      </c>
    </row>
    <row r="7">
      <c r="A7" s="5" t="inlineStr">
        <is>
          <t>행사주식수</t>
        </is>
      </c>
      <c r="B7" s="7" t="n">
        <v>0</v>
      </c>
      <c r="C7" s="7" t="n">
        <v>0</v>
      </c>
    </row>
    <row r="8">
      <c r="A8" s="5" t="inlineStr">
        <is>
          <t>소멸주식수</t>
        </is>
      </c>
      <c r="B8" s="7" t="n">
        <v>0</v>
      </c>
      <c r="C8" s="7" t="n">
        <v>0</v>
      </c>
    </row>
    <row r="9">
      <c r="A9" s="5" t="inlineStr">
        <is>
          <t>잔여주식수</t>
        </is>
      </c>
      <c r="B9" s="7" t="n">
        <v>35000</v>
      </c>
      <c r="C9" s="7" t="n">
        <v>30000</v>
      </c>
    </row>
    <row r="10">
      <c r="A10" s="5" t="inlineStr">
        <is>
          <t>발행할 주식의 종류</t>
        </is>
      </c>
      <c r="B10" s="4" t="inlineStr">
        <is>
          <t>기명식 보통주식</t>
        </is>
      </c>
      <c r="C10" s="4" t="inlineStr">
        <is>
          <t>기명식 보통주식</t>
        </is>
      </c>
    </row>
    <row r="11">
      <c r="A11" s="5" t="inlineStr">
        <is>
          <t>부여방법</t>
        </is>
      </c>
      <c r="B11" s="4" t="inlineStr">
        <is>
          <t>보통주 신주발행, 자기주식교부</t>
        </is>
      </c>
      <c r="C11" s="4" t="inlineStr">
        <is>
          <t>보통주 신주발행, 자기주식교부</t>
        </is>
      </c>
    </row>
    <row r="12">
      <c r="A12" s="5" t="inlineStr">
        <is>
          <t>행사가격</t>
        </is>
      </c>
      <c r="B12" s="7" t="n">
        <v>7254</v>
      </c>
      <c r="C12" s="7" t="n">
        <v>7955</v>
      </c>
    </row>
    <row r="13">
      <c r="A13" s="5" t="inlineStr">
        <is>
          <t>행사가능기간</t>
        </is>
      </c>
      <c r="B13" s="4" t="inlineStr">
        <is>
          <t>2025년 03월 29일~2027년 03월 28일</t>
        </is>
      </c>
      <c r="C13" s="4" t="inlineStr">
        <is>
          <t>2027년 03월 26일~2029년 03월 25일</t>
        </is>
      </c>
    </row>
    <row r="14">
      <c r="A14" s="5" t="inlineStr">
        <is>
          <t>가득조건</t>
        </is>
      </c>
      <c r="B14" s="4" t="inlineStr">
        <is>
          <t>용역제공조건: 부여일로부터 3년</t>
        </is>
      </c>
      <c r="C14" s="4" t="inlineStr">
        <is>
          <t>용역제공조건: 부여일로부터 3년</t>
        </is>
      </c>
    </row>
    <row r="16">
      <c r="A16" s="2" t="inlineStr">
        <is>
          <t>(2) 당기말과 전기말 현재 주식선택권 수량의 변동내역은 다음과 같습니다.</t>
        </is>
      </c>
    </row>
    <row r="17">
      <c r="B17" s="2" t="inlineStr">
        <is>
          <t>(단위: 주)</t>
        </is>
      </c>
    </row>
    <row r="18">
      <c r="A18" s="3" t="inlineStr">
        <is>
          <t>구 분</t>
        </is>
      </c>
      <c r="B18" s="3" t="inlineStr">
        <is>
          <t>당기말</t>
        </is>
      </c>
      <c r="C18" s="3" t="inlineStr">
        <is>
          <t>전기말</t>
        </is>
      </c>
    </row>
    <row r="19">
      <c r="A19" s="5" t="inlineStr">
        <is>
          <t>기초 잔여주</t>
        </is>
      </c>
      <c r="B19" s="7" t="n">
        <v>65000</v>
      </c>
      <c r="C19" s="7" t="n">
        <v>35000</v>
      </c>
    </row>
    <row r="20">
      <c r="A20" s="5" t="inlineStr">
        <is>
          <t>기중 부여수량</t>
        </is>
      </c>
      <c r="B20" s="7" t="n">
        <v>0</v>
      </c>
      <c r="C20" s="7" t="n">
        <v>30000</v>
      </c>
    </row>
    <row r="21">
      <c r="A21" s="5" t="inlineStr">
        <is>
          <t>기말 잔여주</t>
        </is>
      </c>
      <c r="B21" s="7" t="n">
        <v>65000</v>
      </c>
      <c r="C21" s="7" t="n">
        <v>65000</v>
      </c>
    </row>
    <row r="23">
      <c r="A23" s="2" t="inlineStr">
        <is>
          <t>상기의 주식선택권으로 인해 당기 중 비용으로 인식한 주식보상비용은 32,380천원이며(전기: 24,928천원), 총 인식할 주식보상비용은 97,140천원입니다.(3) 상기 주식선택권은 옵션가격결정모형을 이용한 공정가액접근법을 적용하여 보상원가를 산정하였는 바, 이에 적용된 주요 가정은 다음과 같습니다.</t>
        </is>
      </c>
    </row>
    <row r="24">
      <c r="A24" s="3" t="inlineStr">
        <is>
          <t>구 분</t>
        </is>
      </c>
      <c r="B24" s="3" t="inlineStr">
        <is>
          <t>3차</t>
        </is>
      </c>
      <c r="C24" s="3" t="inlineStr">
        <is>
          <t>4차</t>
        </is>
      </c>
    </row>
    <row r="25">
      <c r="A25" s="5" t="inlineStr">
        <is>
          <t>적용모형</t>
        </is>
      </c>
      <c r="B25" s="4" t="inlineStr">
        <is>
          <t>이항모형</t>
        </is>
      </c>
      <c r="C25" s="4" t="inlineStr">
        <is>
          <t>이항모형</t>
        </is>
      </c>
    </row>
    <row r="26">
      <c r="A26" s="5" t="inlineStr">
        <is>
          <t>무위험이자율</t>
        </is>
      </c>
      <c r="B26" s="4" t="inlineStr">
        <is>
          <t>2.80%</t>
        </is>
      </c>
      <c r="C26" s="4" t="inlineStr">
        <is>
          <t>3.32%</t>
        </is>
      </c>
    </row>
    <row r="27">
      <c r="A27" s="5" t="inlineStr">
        <is>
          <t>기대행사기간</t>
        </is>
      </c>
      <c r="B27" s="4" t="inlineStr">
        <is>
          <t>4년</t>
        </is>
      </c>
      <c r="C27" s="4" t="inlineStr">
        <is>
          <t>4년</t>
        </is>
      </c>
    </row>
    <row r="28">
      <c r="A28" s="5" t="inlineStr">
        <is>
          <t>기대배당수익률</t>
        </is>
      </c>
      <c r="B28" s="4" t="inlineStr">
        <is>
          <t>3.63%</t>
        </is>
      </c>
      <c r="C28" s="4" t="inlineStr">
        <is>
          <t>3.28%</t>
        </is>
      </c>
    </row>
    <row r="29">
      <c r="A29" s="5" t="inlineStr">
        <is>
          <t>기대주가변동성</t>
        </is>
      </c>
      <c r="B29" s="4" t="inlineStr">
        <is>
          <t>58.90%</t>
        </is>
      </c>
      <c r="C29" s="4" t="inlineStr">
        <is>
          <t>65.58%</t>
        </is>
      </c>
    </row>
    <row r="30">
      <c r="A30" s="5" t="inlineStr">
        <is>
          <t>주당공정가치</t>
        </is>
      </c>
      <c r="B30" s="7" t="n">
        <v>3040</v>
      </c>
      <c r="C30" s="7" t="n">
        <v>3238</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24"/>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23. 기타포괄손익누계액 및 기타자본항목</t>
        </is>
      </c>
      <c r="J1" s="15">
        <f>HYPERLINK("#총괄표!A1","◀ 총괄표")</f>
        <v/>
      </c>
    </row>
    <row r="3">
      <c r="A3" s="2" t="inlineStr">
        <is>
          <t>(1) 당기말과 전기말 현재 기타포괄손익누계액의 내역은 다음과 같습니다.</t>
        </is>
      </c>
    </row>
    <row r="4">
      <c r="B4" s="2" t="inlineStr">
        <is>
          <t>(단위: 천원)</t>
        </is>
      </c>
    </row>
    <row r="5">
      <c r="A5" s="3" t="inlineStr">
        <is>
          <t>구 분</t>
        </is>
      </c>
      <c r="B5" s="3" t="inlineStr">
        <is>
          <t>당기말</t>
        </is>
      </c>
      <c r="C5" s="3" t="inlineStr">
        <is>
          <t>전기말</t>
        </is>
      </c>
    </row>
    <row r="6">
      <c r="A6" s="5" t="inlineStr">
        <is>
          <t>기타포괄손익-공정가치 측정 지분상품 평가손익</t>
        </is>
      </c>
      <c r="B6" s="7" t="n">
        <v>-796533</v>
      </c>
      <c r="C6" s="7" t="n">
        <v>-1101843</v>
      </c>
    </row>
    <row r="8">
      <c r="A8" s="2" t="inlineStr">
        <is>
          <t>(2) 당기와 전기 중 기타포괄손익-공정가치 측정 금융자산 평가손익의 변동내역은 다음과 같습니다.</t>
        </is>
      </c>
    </row>
    <row r="9">
      <c r="B9" s="2" t="inlineStr">
        <is>
          <t>(단위: 천원)</t>
        </is>
      </c>
    </row>
    <row r="10">
      <c r="A10" s="3" t="inlineStr">
        <is>
          <t>구 분</t>
        </is>
      </c>
      <c r="B10" s="3" t="inlineStr">
        <is>
          <t>당 기</t>
        </is>
      </c>
      <c r="C10" s="3" t="inlineStr">
        <is>
          <t>전 기</t>
        </is>
      </c>
    </row>
    <row r="11">
      <c r="A11" s="5" t="inlineStr">
        <is>
          <t>기 초</t>
        </is>
      </c>
      <c r="B11" s="7" t="n">
        <v>-1101843</v>
      </c>
      <c r="C11" s="7" t="n">
        <v>-763803</v>
      </c>
    </row>
    <row r="12">
      <c r="A12" s="5" t="inlineStr">
        <is>
          <t>평 가</t>
        </is>
      </c>
      <c r="B12" s="7" t="n">
        <v>343114</v>
      </c>
      <c r="C12" s="7" t="n">
        <v>-314074</v>
      </c>
    </row>
    <row r="13">
      <c r="A13" s="5" t="inlineStr">
        <is>
          <t>처 분</t>
        </is>
      </c>
      <c r="B13" s="7" t="n">
        <v>-37804</v>
      </c>
      <c r="C13" s="7" t="n">
        <v>-23966</v>
      </c>
    </row>
    <row r="14">
      <c r="A14" s="8" t="inlineStr">
        <is>
          <t>기 말</t>
        </is>
      </c>
      <c r="B14" s="9" t="n">
        <v>-796533</v>
      </c>
      <c r="C14" s="9" t="n">
        <v>-1101843</v>
      </c>
    </row>
    <row r="15">
      <c r="A15" s="2" t="inlineStr">
        <is>
          <t xml:space="preserve">  └ 푸팅검증: 기 말(행 14) − Σ(행)</t>
        </is>
      </c>
      <c r="B15" s="17">
        <f>IF(ABS(B14-(SUM(B11:B13)))&lt;1.5,TRUE,B14-(SUM(B11:B13)))</f>
        <v/>
      </c>
      <c r="C15" s="17">
        <f>IF(ABS(C14-(SUM(C11:C13)))&lt;1.5,TRUE,C14-(SUM(C11:C13)))</f>
        <v/>
      </c>
    </row>
    <row r="17">
      <c r="A17" s="2" t="inlineStr">
        <is>
          <t>상기 기타포괄손익누계액의 증감은 법인세 효과가 차감된 후의 금액입니다.당사는 특정지분상품의 공정가치를 기타포괄손익으로 인식하도록 지정하였습니다. 이러한 공정가치 변동은 자본 내에서 기타포괄손익-공정가치 측정 금융자산 잉여금으로 누적됩니다. 당사는 관련 지분상품을 제거하는 시점에서 이러한 잉여금을 이익잉여금으로 대체합니다.</t>
        </is>
      </c>
    </row>
    <row r="18">
      <c r="A18" s="2" t="inlineStr">
        <is>
          <t>(3) 당기말과 전기말 현재 기타자본구성요소의 내역은 다음과 같습니다.</t>
        </is>
      </c>
    </row>
    <row r="19">
      <c r="B19" s="2" t="inlineStr">
        <is>
          <t>(단위: 천원)</t>
        </is>
      </c>
    </row>
    <row r="20">
      <c r="A20" s="3" t="inlineStr">
        <is>
          <t>구 분</t>
        </is>
      </c>
      <c r="B20" s="3" t="inlineStr">
        <is>
          <t>당기말</t>
        </is>
      </c>
      <c r="C20" s="3" t="inlineStr">
        <is>
          <t>전기말</t>
        </is>
      </c>
    </row>
    <row r="21">
      <c r="A21" s="5" t="inlineStr">
        <is>
          <t>자기주식처분손실</t>
        </is>
      </c>
      <c r="B21" s="7" t="n">
        <v>-277615</v>
      </c>
      <c r="C21" s="7" t="n">
        <v>-277615</v>
      </c>
    </row>
    <row r="22">
      <c r="A22" s="5" t="inlineStr">
        <is>
          <t>주식매수선택권</t>
        </is>
      </c>
      <c r="B22" s="7" t="n">
        <v>163708</v>
      </c>
      <c r="C22" s="7" t="n">
        <v>131328</v>
      </c>
    </row>
    <row r="23">
      <c r="A23" s="8" t="inlineStr">
        <is>
          <t>합 계</t>
        </is>
      </c>
      <c r="B23" s="9" t="n">
        <v>-113907</v>
      </c>
      <c r="C23" s="9" t="n">
        <v>-146287</v>
      </c>
    </row>
    <row r="24">
      <c r="A24" s="2" t="inlineStr">
        <is>
          <t xml:space="preserve">  └ 푸팅검증: 합 계(행 23) − Σ(행)</t>
        </is>
      </c>
      <c r="B24" s="17">
        <f>IF(ABS(B23-(SUM(B21:B22)))&lt;1.5,TRUE,B23-(SUM(B21:B22)))</f>
        <v/>
      </c>
      <c r="C24" s="17">
        <f>IF(ABS(C23-(SUM(C21:C22)))&lt;1.5,TRUE,C23-(SUM(C21:C22)))</f>
        <v/>
      </c>
    </row>
  </sheetData>
  <conditionalFormatting sqref="B15">
    <cfRule type="expression" priority="1" dxfId="0">
      <formula>ISNUMBER(B15)</formula>
    </cfRule>
  </conditionalFormatting>
  <conditionalFormatting sqref="B24">
    <cfRule type="expression" priority="2" dxfId="0">
      <formula>ISNUMBER(B24)</formula>
    </cfRule>
  </conditionalFormatting>
  <conditionalFormatting sqref="C15">
    <cfRule type="expression" priority="3" dxfId="0">
      <formula>ISNUMBER(C15)</formula>
    </cfRule>
  </conditionalFormatting>
  <conditionalFormatting sqref="C24">
    <cfRule type="expression" priority="4" dxfId="0">
      <formula>ISNUMBER(C24)</formula>
    </cfRule>
  </conditionalFormatting>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27"/>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24. 이익잉여금</t>
        </is>
      </c>
      <c r="J1" s="15">
        <f>HYPERLINK("#총괄표!A1","◀ 총괄표")</f>
        <v/>
      </c>
    </row>
    <row r="3">
      <c r="A3" s="2" t="inlineStr">
        <is>
          <t>(1) 당기말과 전기말 현재 이익잉여금의 내역은 다음과 같습니다.</t>
        </is>
      </c>
    </row>
    <row r="4">
      <c r="B4" s="2" t="inlineStr">
        <is>
          <t>(단위: 천원)</t>
        </is>
      </c>
    </row>
    <row r="5">
      <c r="A5" s="3" t="inlineStr">
        <is>
          <t>구 분</t>
        </is>
      </c>
      <c r="B5" s="3" t="inlineStr">
        <is>
          <t>당기말</t>
        </is>
      </c>
      <c r="C5" s="3" t="inlineStr">
        <is>
          <t>전기말</t>
        </is>
      </c>
    </row>
    <row r="6">
      <c r="A6" s="5" t="inlineStr">
        <is>
          <t>법정적립금(*)</t>
        </is>
      </c>
      <c r="B6" s="7" t="n">
        <v>2848800</v>
      </c>
      <c r="C6" s="7" t="n">
        <v>2632800</v>
      </c>
    </row>
    <row r="7">
      <c r="A7" s="5" t="inlineStr">
        <is>
          <t>미처분이익잉여금</t>
        </is>
      </c>
      <c r="B7" s="7" t="n">
        <v>9329846</v>
      </c>
      <c r="C7" s="7" t="n">
        <v>9081143</v>
      </c>
    </row>
    <row r="8">
      <c r="A8" s="8" t="inlineStr">
        <is>
          <t>합 계</t>
        </is>
      </c>
      <c r="B8" s="9" t="n">
        <v>12178646</v>
      </c>
      <c r="C8" s="9" t="n">
        <v>11713943</v>
      </c>
    </row>
    <row r="9">
      <c r="A9" s="2" t="inlineStr">
        <is>
          <t xml:space="preserve">  └ 푸팅검증: 합 계(행 8) − Σ(행)</t>
        </is>
      </c>
      <c r="B9" s="17">
        <f>IF(ABS(B8-(SUM(B6:B7)))&lt;1.5,TRUE,B8-(SUM(B6:B7)))</f>
        <v/>
      </c>
      <c r="C9" s="17">
        <f>IF(ABS(C8-(SUM(C6:C7)))&lt;1.5,TRUE,C8-(SUM(C6:C7)))</f>
        <v/>
      </c>
    </row>
    <row r="11">
      <c r="A11" s="2" t="inlineStr">
        <is>
          <t>(*) 법정적립금은 이익준비금으로서 상법 상 자본금의 50%에 달할 때까지 매 결산기에 금전에 의한 이익배당액의 10% 이상을 이익준비금으로 적립하도록 규정되어 있으며, 당사는 이를 법정적립금으로 구분하고 있습니다. 동 이익준비금은 현금으로 배당할 수 없으며, 주주총회의 결의에 의하여 이월결손금 보전과 자본전입에만 사용될 수 있습니다.</t>
        </is>
      </c>
    </row>
    <row r="12">
      <c r="A12" s="2" t="inlineStr">
        <is>
          <t>(2) 이익잉여금처분계산서</t>
        </is>
      </c>
    </row>
    <row r="13">
      <c r="B13" s="2" t="inlineStr">
        <is>
          <t>(단위: 천원)</t>
        </is>
      </c>
    </row>
    <row r="14">
      <c r="A14" s="3" t="inlineStr">
        <is>
          <t>구 분</t>
        </is>
      </c>
      <c r="B14" s="3" t="inlineStr">
        <is>
          <t>당 기 (처분예정일: 2026년 3월 26일)</t>
        </is>
      </c>
      <c r="C14" s="3" t="inlineStr">
        <is>
          <t>당 기 (처분예정일: 2026년 3월 26일)</t>
        </is>
      </c>
      <c r="D14" s="3" t="inlineStr">
        <is>
          <t>전 기 (처분확정일: 2025년 3월 26일)</t>
        </is>
      </c>
      <c r="E14" s="3" t="inlineStr">
        <is>
          <t>전 기 (처분확정일: 2025년 3월 26일)</t>
        </is>
      </c>
    </row>
    <row r="15">
      <c r="A15" s="5" t="inlineStr">
        <is>
          <t>Ⅰ.미처분이익잉여금</t>
        </is>
      </c>
      <c r="B15" s="4" t="inlineStr"/>
      <c r="C15" s="7" t="n">
        <v>9329846</v>
      </c>
      <c r="D15" s="4" t="inlineStr"/>
      <c r="E15" s="7" t="n">
        <v>9081143</v>
      </c>
    </row>
    <row r="16">
      <c r="A16" s="5" t="inlineStr">
        <is>
          <t>1.전기이월미처분이익잉여금</t>
        </is>
      </c>
      <c r="B16" s="7" t="n">
        <v>6705143</v>
      </c>
      <c r="C16" s="4" t="inlineStr"/>
      <c r="D16" s="7" t="n">
        <v>7157075</v>
      </c>
      <c r="E16" s="4" t="inlineStr"/>
    </row>
    <row r="17">
      <c r="A17" s="5" t="inlineStr">
        <is>
          <t>2.당기순이익</t>
        </is>
      </c>
      <c r="B17" s="7" t="n">
        <v>2527450</v>
      </c>
      <c r="C17" s="4" t="inlineStr"/>
      <c r="D17" s="7" t="n">
        <v>1999175</v>
      </c>
      <c r="E17" s="4" t="inlineStr"/>
    </row>
    <row r="18">
      <c r="A18" s="5" t="inlineStr">
        <is>
          <t>3.확정급여제도의 재측정요소</t>
        </is>
      </c>
      <c r="B18" s="7" t="n">
        <v>59449</v>
      </c>
      <c r="C18" s="4" t="inlineStr"/>
      <c r="D18" s="7" t="n">
        <v>-99073</v>
      </c>
      <c r="E18" s="4" t="inlineStr"/>
    </row>
    <row r="19">
      <c r="A19" s="5" t="inlineStr">
        <is>
          <t>4.기타포괄손익-공정가치 측정 지분상품 처분에 따른 대체</t>
        </is>
      </c>
      <c r="B19" s="7" t="n">
        <v>37804</v>
      </c>
      <c r="C19" s="4" t="inlineStr"/>
      <c r="D19" s="7" t="n">
        <v>23966</v>
      </c>
      <c r="E19" s="4" t="inlineStr"/>
    </row>
    <row r="20">
      <c r="A20" s="5" t="inlineStr">
        <is>
          <t>Ⅱ.이익잉여금처분액</t>
        </is>
      </c>
      <c r="B20" s="4" t="inlineStr"/>
      <c r="C20" s="7" t="n">
        <v>-2376000</v>
      </c>
      <c r="D20" s="4" t="inlineStr"/>
      <c r="E20" s="7" t="n">
        <v>-2376000</v>
      </c>
    </row>
    <row r="21">
      <c r="A21" s="5" t="inlineStr">
        <is>
          <t>1.이익준비금</t>
        </is>
      </c>
      <c r="B21" s="7" t="n">
        <v>216000</v>
      </c>
      <c r="C21" s="4" t="inlineStr"/>
      <c r="D21" s="7" t="n">
        <v>216000</v>
      </c>
      <c r="E21" s="4" t="inlineStr"/>
    </row>
    <row r="22">
      <c r="A22" s="5" t="inlineStr">
        <is>
          <t>2.배당금 주당배당금(률) 당기 : 180원(36%) 전기 : 180원(36%)</t>
        </is>
      </c>
      <c r="B22" s="7" t="n">
        <v>2160000</v>
      </c>
      <c r="C22" s="4" t="inlineStr"/>
      <c r="D22" s="7" t="n">
        <v>2160000</v>
      </c>
      <c r="E22" s="4" t="inlineStr"/>
    </row>
    <row r="23">
      <c r="A23" s="5" t="inlineStr">
        <is>
          <t>Ⅲ.차기이월미처분이익잉여금</t>
        </is>
      </c>
      <c r="B23" s="4" t="inlineStr"/>
      <c r="C23" s="7" t="n">
        <v>6953846</v>
      </c>
      <c r="D23" s="4" t="inlineStr"/>
      <c r="E23" s="7" t="n">
        <v>6705143</v>
      </c>
    </row>
    <row r="26">
      <c r="A26" s="10" t="inlineStr">
        <is>
          <t>■ 크로스 참조</t>
        </is>
      </c>
    </row>
    <row r="27">
      <c r="A27" s="2" t="inlineStr">
        <is>
          <t>주24 이익잉여금 합계 = BS 이익잉여금</t>
        </is>
      </c>
      <c r="B27" s="17">
        <f>IF(ABS(B8*1000-'BS'!B41)&lt;5000,TRUE,B8*1000-'BS'!B41)</f>
        <v/>
      </c>
      <c r="C27" s="2" t="inlineStr">
        <is>
          <t>→ BS!B41</t>
        </is>
      </c>
    </row>
  </sheetData>
  <conditionalFormatting sqref="B9">
    <cfRule type="expression" priority="1" dxfId="0">
      <formula>ISNUMBER(B9)</formula>
    </cfRule>
  </conditionalFormatting>
  <conditionalFormatting sqref="C9">
    <cfRule type="expression" priority="2" dxfId="0">
      <formula>ISNUMBER(C9)</formula>
    </cfRule>
  </conditionalFormatting>
  <conditionalFormatting sqref="B27">
    <cfRule type="expression" priority="3" dxfId="0">
      <formula>ISNUMBER(B27)</formula>
    </cfRule>
  </conditionalFormatting>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38"/>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25. 고객과의 계약에서 생기는 수익 및 관련 계약자산과 계약부채</t>
        </is>
      </c>
      <c r="J1" s="15">
        <f>HYPERLINK("#총괄표!A1","◀ 총괄표")</f>
        <v/>
      </c>
    </row>
    <row r="3">
      <c r="A3" s="2" t="inlineStr">
        <is>
          <t>(1) 당사는 수익과 관련해 손익계산서에 다음 금액을 인식하였습니다.</t>
        </is>
      </c>
    </row>
    <row r="4">
      <c r="B4" s="2" t="inlineStr">
        <is>
          <t>(단위: 천원)</t>
        </is>
      </c>
    </row>
    <row r="5">
      <c r="A5" s="3" t="inlineStr">
        <is>
          <t>구 분</t>
        </is>
      </c>
      <c r="B5" s="3" t="inlineStr">
        <is>
          <t>당 기</t>
        </is>
      </c>
      <c r="C5" s="3" t="inlineStr">
        <is>
          <t>전 기</t>
        </is>
      </c>
    </row>
    <row r="6">
      <c r="A6" s="5" t="inlineStr">
        <is>
          <t>고객과의 계약에서 생기는 수익</t>
        </is>
      </c>
      <c r="B6" s="7" t="n">
        <v>24841987</v>
      </c>
      <c r="C6" s="7" t="n">
        <v>29528255</v>
      </c>
    </row>
    <row r="7">
      <c r="A7" s="5" t="inlineStr">
        <is>
          <t>기타 원천으로부터의 수익: 임대료 수익</t>
        </is>
      </c>
      <c r="B7" s="7" t="n">
        <v>21495</v>
      </c>
      <c r="C7" s="7" t="n">
        <v>11100</v>
      </c>
    </row>
    <row r="8">
      <c r="A8" s="8" t="inlineStr">
        <is>
          <t>합 계</t>
        </is>
      </c>
      <c r="B8" s="9" t="n">
        <v>24863482</v>
      </c>
      <c r="C8" s="9" t="n">
        <v>29539355</v>
      </c>
    </row>
    <row r="9">
      <c r="A9" s="2" t="inlineStr">
        <is>
          <t xml:space="preserve">  └ 푸팅검증: 합 계(행 8) − Σ(행)</t>
        </is>
      </c>
      <c r="B9" s="17">
        <f>IF(ABS(B8-(SUM(B6:B7)))&lt;1.5,TRUE,B8-(SUM(B6:B7)))</f>
        <v/>
      </c>
      <c r="C9" s="17">
        <f>IF(ABS(C8-(SUM(C6:C7)))&lt;1.5,TRUE,C8-(SUM(C6:C7)))</f>
        <v/>
      </c>
    </row>
    <row r="11">
      <c r="A11" s="2" t="inlineStr">
        <is>
          <t>(2) 당기와 전기의 고객과의 계약에서 생기는 수익은 다음과 같습니다.</t>
        </is>
      </c>
    </row>
    <row r="12">
      <c r="B12" s="2" t="inlineStr">
        <is>
          <t>(단위: 천원)</t>
        </is>
      </c>
    </row>
    <row r="13">
      <c r="A13" s="3" t="inlineStr">
        <is>
          <t>구 분</t>
        </is>
      </c>
      <c r="B13" s="3" t="inlineStr">
        <is>
          <t>당 기</t>
        </is>
      </c>
      <c r="C13" s="3" t="inlineStr">
        <is>
          <t>전 기</t>
        </is>
      </c>
    </row>
    <row r="14">
      <c r="A14" s="5" t="inlineStr">
        <is>
          <t>한 시점에 이행</t>
        </is>
      </c>
      <c r="B14" s="4" t="inlineStr">
        <is>
          <t>한 시점에 이행</t>
        </is>
      </c>
      <c r="C14" s="4" t="inlineStr">
        <is>
          <t>한 시점에 이행</t>
        </is>
      </c>
    </row>
    <row r="15">
      <c r="A15" s="5" t="inlineStr">
        <is>
          <t>상품매출</t>
        </is>
      </c>
      <c r="B15" s="7" t="n">
        <v>9997623</v>
      </c>
      <c r="C15" s="7" t="n">
        <v>13595193</v>
      </c>
    </row>
    <row r="16">
      <c r="A16" s="5" t="inlineStr">
        <is>
          <t>용역매출</t>
        </is>
      </c>
      <c r="B16" s="7" t="n">
        <v>487339</v>
      </c>
      <c r="C16" s="7" t="n">
        <v>1777237</v>
      </c>
    </row>
    <row r="17">
      <c r="A17" s="5" t="inlineStr">
        <is>
          <t>기타매출</t>
        </is>
      </c>
      <c r="B17" s="7" t="n">
        <v>79698</v>
      </c>
      <c r="C17" s="7" t="n">
        <v>70467</v>
      </c>
    </row>
    <row r="18">
      <c r="A18" s="8" t="inlineStr">
        <is>
          <t>소 계</t>
        </is>
      </c>
      <c r="B18" s="9" t="n">
        <v>10564660</v>
      </c>
      <c r="C18" s="9" t="n">
        <v>15442897</v>
      </c>
    </row>
    <row r="19">
      <c r="A19" s="5" t="inlineStr">
        <is>
          <t>기간에 걸쳐 이행</t>
        </is>
      </c>
      <c r="B19" s="4" t="inlineStr">
        <is>
          <t>기간에 걸쳐 이행</t>
        </is>
      </c>
      <c r="C19" s="4" t="inlineStr">
        <is>
          <t>기간에 걸쳐 이행</t>
        </is>
      </c>
    </row>
    <row r="20">
      <c r="A20" s="5" t="inlineStr">
        <is>
          <t>용역매출</t>
        </is>
      </c>
      <c r="B20" s="7" t="n">
        <v>14232825</v>
      </c>
      <c r="C20" s="7" t="n">
        <v>13998330</v>
      </c>
    </row>
    <row r="21">
      <c r="A21" s="5" t="inlineStr">
        <is>
          <t>기타매출</t>
        </is>
      </c>
      <c r="B21" s="7" t="n">
        <v>44502</v>
      </c>
      <c r="C21" s="7" t="n">
        <v>87028</v>
      </c>
    </row>
    <row r="22">
      <c r="A22" s="8" t="inlineStr">
        <is>
          <t>소 계</t>
        </is>
      </c>
      <c r="B22" s="9" t="n">
        <v>14277327</v>
      </c>
      <c r="C22" s="9" t="n">
        <v>14085358</v>
      </c>
    </row>
    <row r="23">
      <c r="A23" s="8" t="inlineStr">
        <is>
          <t>합 계</t>
        </is>
      </c>
      <c r="B23" s="9" t="n">
        <v>24841987</v>
      </c>
      <c r="C23" s="9" t="n">
        <v>29528255</v>
      </c>
    </row>
    <row r="24">
      <c r="A24" s="2" t="inlineStr">
        <is>
          <t xml:space="preserve">  └ 푸팅검증: 소 계(행 18) − Σ(행)</t>
        </is>
      </c>
      <c r="B24" s="17">
        <f>IF(ABS(B18-(SUM(B15:B17)))&lt;1.5,TRUE,B18-(SUM(B15:B17)))</f>
        <v/>
      </c>
      <c r="C24" s="17">
        <f>IF(ABS(C18-(SUM(C15:C17)))&lt;1.5,TRUE,C18-(SUM(C15:C17)))</f>
        <v/>
      </c>
    </row>
    <row r="25">
      <c r="A25" s="2" t="inlineStr">
        <is>
          <t xml:space="preserve">  └ 푸팅검증: 소 계(행 22) − Σ(행)</t>
        </is>
      </c>
      <c r="B25" s="17">
        <f>IF(ABS(B22-(SUM(B20:B21)))&lt;1.5,TRUE,B22-(SUM(B20:B21)))</f>
        <v/>
      </c>
      <c r="C25" s="17">
        <f>IF(ABS(C22-(SUM(C20:C21)))&lt;1.5,TRUE,C22-(SUM(C20:C21)))</f>
        <v/>
      </c>
    </row>
    <row r="26">
      <c r="A26" s="2" t="inlineStr">
        <is>
          <t xml:space="preserve">  └ 푸팅검증: 합 계(행 23) − Σ소계</t>
        </is>
      </c>
      <c r="B26" s="17">
        <f>IF(ABS(B23-(B18+B22))&lt;1.5,TRUE,B23-(B18+B22))</f>
        <v/>
      </c>
      <c r="C26" s="17">
        <f>IF(ABS(C23-(C18+C22))&lt;1.5,TRUE,C23-(C18+C22))</f>
        <v/>
      </c>
    </row>
    <row r="28">
      <c r="A28" s="2" t="inlineStr">
        <is>
          <t>(3) 고객과의 계약과 관련하여 당기말과 전기말 현재 계약자산과 계약부채는 다음과 같습니다.</t>
        </is>
      </c>
    </row>
    <row r="29">
      <c r="B29" s="2" t="inlineStr">
        <is>
          <t>(단위: 천원)</t>
        </is>
      </c>
    </row>
    <row r="30">
      <c r="A30" s="3" t="inlineStr">
        <is>
          <t>구 분</t>
        </is>
      </c>
      <c r="B30" s="3" t="inlineStr">
        <is>
          <t>당기말</t>
        </is>
      </c>
      <c r="C30" s="3" t="inlineStr">
        <is>
          <t>전기말</t>
        </is>
      </c>
    </row>
    <row r="31">
      <c r="A31" s="5" t="inlineStr">
        <is>
          <t>계약자산(*)</t>
        </is>
      </c>
      <c r="B31" s="7" t="n">
        <v>644343</v>
      </c>
      <c r="C31" s="7" t="n">
        <v>657455</v>
      </c>
    </row>
    <row r="32">
      <c r="A32" s="5" t="inlineStr">
        <is>
          <t>계약부채</t>
        </is>
      </c>
      <c r="B32" s="7" t="n">
        <v>846363</v>
      </c>
      <c r="C32" s="7" t="n">
        <v>208983</v>
      </c>
    </row>
    <row r="34">
      <c r="A34" s="2" t="inlineStr">
        <is>
          <t>(*) 재무상태표의 매출채권 계정에 포함되어 있습니다.</t>
        </is>
      </c>
    </row>
    <row r="35">
      <c r="A35" s="2" t="inlineStr">
        <is>
          <t>계약부채는 한시점 또는 기간에 걸쳐 이행하는 수행의무 관련한 고객에게 선수취한 금액입니다. 전기말 인식된 계약부채 208,983천원(전전기말: 2,759,041천원) 중 187,724천원(2,753,217천원)은 당기(전기) 중 수익으로 인식되었습니다.또한 당기말과 전기말 현재 계약이행원가는 3,221,203천원과 1,787,483천원으로 기타자산에 포함되어 있습니다.</t>
        </is>
      </c>
    </row>
    <row r="37">
      <c r="A37" s="10" t="inlineStr">
        <is>
          <t>■ 크로스 참조</t>
        </is>
      </c>
    </row>
    <row r="38">
      <c r="A38" s="2" t="inlineStr">
        <is>
          <t>주25 수익 합계 = PL 매출</t>
        </is>
      </c>
      <c r="B38" s="17">
        <f>IF(ABS(B8*1000-'PL'!B6)&lt;5000,TRUE,B8*1000-'PL'!B6)</f>
        <v/>
      </c>
      <c r="C38" s="2" t="inlineStr">
        <is>
          <t>→ PL!B6</t>
        </is>
      </c>
    </row>
  </sheetData>
  <conditionalFormatting sqref="B9">
    <cfRule type="expression" priority="1" dxfId="0">
      <formula>ISNUMBER(B9)</formula>
    </cfRule>
  </conditionalFormatting>
  <conditionalFormatting sqref="B24:B26">
    <cfRule type="expression" priority="2" dxfId="0">
      <formula>ISNUMBER(B24)</formula>
    </cfRule>
  </conditionalFormatting>
  <conditionalFormatting sqref="C9">
    <cfRule type="expression" priority="3" dxfId="0">
      <formula>ISNUMBER(C9)</formula>
    </cfRule>
  </conditionalFormatting>
  <conditionalFormatting sqref="C24:C26">
    <cfRule type="expression" priority="4" dxfId="0">
      <formula>ISNUMBER(C24)</formula>
    </cfRule>
  </conditionalFormatting>
  <conditionalFormatting sqref="B38">
    <cfRule type="expression" priority="5" dxfId="0">
      <formula>ISNUMBER(B38)</formula>
    </cfRule>
  </conditionalFormatting>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38"/>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26. 매출원가 및 비용의 성격별 분류</t>
        </is>
      </c>
      <c r="J1" s="15">
        <f>HYPERLINK("#총괄표!A1","◀ 총괄표")</f>
        <v/>
      </c>
    </row>
    <row r="3">
      <c r="A3" s="2" t="inlineStr">
        <is>
          <t>(1) 당기와 전기 중 매출원가의 구성내역은 다음과 같습니다.</t>
        </is>
      </c>
    </row>
    <row r="4">
      <c r="B4" s="2" t="inlineStr">
        <is>
          <t>(단위: 천원)</t>
        </is>
      </c>
    </row>
    <row r="5">
      <c r="A5" s="3" t="inlineStr">
        <is>
          <t>구 분</t>
        </is>
      </c>
      <c r="B5" s="3" t="inlineStr">
        <is>
          <t>당 기</t>
        </is>
      </c>
      <c r="C5" s="3" t="inlineStr">
        <is>
          <t>전 기</t>
        </is>
      </c>
    </row>
    <row r="6">
      <c r="A6" s="5" t="inlineStr">
        <is>
          <t>상품매출원가</t>
        </is>
      </c>
      <c r="B6" s="7" t="n">
        <v>8170745</v>
      </c>
      <c r="C6" s="7" t="n">
        <v>12061476</v>
      </c>
    </row>
    <row r="7">
      <c r="A7" s="5" t="inlineStr">
        <is>
          <t>용역매출원가</t>
        </is>
      </c>
      <c r="B7" s="7" t="n">
        <v>11335344</v>
      </c>
      <c r="C7" s="7" t="n">
        <v>12185545</v>
      </c>
    </row>
    <row r="8">
      <c r="A8" s="5" t="inlineStr">
        <is>
          <t>기타매출원가</t>
        </is>
      </c>
      <c r="B8" s="7" t="n">
        <v>168633</v>
      </c>
      <c r="C8" s="7" t="n">
        <v>313538</v>
      </c>
    </row>
    <row r="9">
      <c r="A9" s="8" t="inlineStr">
        <is>
          <t>합 계</t>
        </is>
      </c>
      <c r="B9" s="9" t="n">
        <v>19674722</v>
      </c>
      <c r="C9" s="9" t="n">
        <v>24560559</v>
      </c>
    </row>
    <row r="10">
      <c r="A10" s="2" t="inlineStr">
        <is>
          <t xml:space="preserve">  └ 푸팅검증: 합 계(행 9) − Σ(행)</t>
        </is>
      </c>
      <c r="B10" s="17">
        <f>IF(ABS(B9-(SUM(B6:B8)))&lt;1.5,TRUE,B9-(SUM(B6:B8)))</f>
        <v/>
      </c>
      <c r="C10" s="17">
        <f>IF(ABS(C9-(SUM(C6:C8)))&lt;1.5,TRUE,C9-(SUM(C6:C8)))</f>
        <v/>
      </c>
    </row>
    <row r="12">
      <c r="A12" s="2" t="inlineStr">
        <is>
          <t>(2) 당기와 전기의 비용의 성격별 분류는 다음과 같습니다.</t>
        </is>
      </c>
    </row>
    <row r="13">
      <c r="B13" s="2" t="inlineStr">
        <is>
          <t>(단위: 천원)</t>
        </is>
      </c>
    </row>
    <row r="14">
      <c r="A14" s="3" t="inlineStr">
        <is>
          <t>구 분</t>
        </is>
      </c>
      <c r="B14" s="3" t="inlineStr">
        <is>
          <t>당 기</t>
        </is>
      </c>
      <c r="C14" s="3" t="inlineStr">
        <is>
          <t>전 기</t>
        </is>
      </c>
    </row>
    <row r="15">
      <c r="A15" s="5" t="inlineStr">
        <is>
          <t>재고자산의 변동</t>
        </is>
      </c>
      <c r="B15" s="7" t="n">
        <v>199720</v>
      </c>
      <c r="C15" s="7" t="n">
        <v>17995</v>
      </c>
    </row>
    <row r="16">
      <c r="A16" s="5" t="inlineStr">
        <is>
          <t>상품 매입</t>
        </is>
      </c>
      <c r="B16" s="7" t="n">
        <v>7971025</v>
      </c>
      <c r="C16" s="7" t="n">
        <v>12043481</v>
      </c>
    </row>
    <row r="17">
      <c r="A17" s="5" t="inlineStr">
        <is>
          <t>종업원급여</t>
        </is>
      </c>
      <c r="B17" s="7" t="n">
        <v>4273167</v>
      </c>
      <c r="C17" s="7" t="n">
        <v>4024834</v>
      </c>
    </row>
    <row r="18">
      <c r="A18" s="5" t="inlineStr">
        <is>
          <t>감가상각비</t>
        </is>
      </c>
      <c r="B18" s="7" t="n">
        <v>306483</v>
      </c>
      <c r="C18" s="7" t="n">
        <v>321068</v>
      </c>
    </row>
    <row r="19">
      <c r="A19" s="5" t="inlineStr">
        <is>
          <t>지급수수료</t>
        </is>
      </c>
      <c r="B19" s="7" t="n">
        <v>9181272</v>
      </c>
      <c r="C19" s="7" t="n">
        <v>10372223</v>
      </c>
    </row>
    <row r="20">
      <c r="A20" s="5" t="inlineStr">
        <is>
          <t>임차료</t>
        </is>
      </c>
      <c r="B20" s="7" t="n">
        <v>113135</v>
      </c>
      <c r="C20" s="7" t="n">
        <v>113243</v>
      </c>
    </row>
    <row r="21">
      <c r="A21" s="5" t="inlineStr">
        <is>
          <t>기타비용</t>
        </is>
      </c>
      <c r="B21" s="7" t="n">
        <v>755470</v>
      </c>
      <c r="C21" s="7" t="n">
        <v>663367</v>
      </c>
    </row>
    <row r="22">
      <c r="A22" s="8" t="inlineStr">
        <is>
          <t>합 계(*)</t>
        </is>
      </c>
      <c r="B22" s="9" t="n">
        <v>22800272</v>
      </c>
      <c r="C22" s="9" t="n">
        <v>27556211</v>
      </c>
    </row>
    <row r="23">
      <c r="A23" s="2" t="inlineStr">
        <is>
          <t xml:space="preserve">  └ 푸팅검증: 합 계(*)(행 22) − Σ(행)</t>
        </is>
      </c>
      <c r="B23" s="17">
        <f>IF(ABS(B22-(SUM(B15:B21)))&lt;1.5,TRUE,B22-(SUM(B15:B21)))</f>
        <v/>
      </c>
      <c r="C23" s="17">
        <f>IF(ABS(C22-(SUM(C15:C21)))&lt;1.5,TRUE,C22-(SUM(C15:C21)))</f>
        <v/>
      </c>
    </row>
    <row r="25">
      <c r="A25" s="2" t="inlineStr">
        <is>
          <t>(*) 포괄손익계산서상 매출원가와 판매비와일반관리비를 합산한 금액입니다.</t>
        </is>
      </c>
    </row>
    <row r="26">
      <c r="A26" s="2" t="inlineStr">
        <is>
          <t>(3) 당기와 전기 중 비용으로 인식된 종업원급여의 내역은 다음과 같습니다.</t>
        </is>
      </c>
    </row>
    <row r="27">
      <c r="B27" s="2" t="inlineStr">
        <is>
          <t>(단위: 천원)</t>
        </is>
      </c>
    </row>
    <row r="28">
      <c r="A28" s="3" t="inlineStr">
        <is>
          <t>구 분</t>
        </is>
      </c>
      <c r="B28" s="3" t="inlineStr">
        <is>
          <t>당 기</t>
        </is>
      </c>
      <c r="C28" s="3" t="inlineStr">
        <is>
          <t>전 기</t>
        </is>
      </c>
    </row>
    <row r="29">
      <c r="A29" s="5" t="inlineStr">
        <is>
          <t>급여</t>
        </is>
      </c>
      <c r="B29" s="7" t="n">
        <v>3352403</v>
      </c>
      <c r="C29" s="7" t="n">
        <v>3136603</v>
      </c>
    </row>
    <row r="30">
      <c r="A30" s="5" t="inlineStr">
        <is>
          <t>확정급여제도와 관련된 퇴직급여</t>
        </is>
      </c>
      <c r="B30" s="7" t="n">
        <v>282745</v>
      </c>
      <c r="C30" s="7" t="n">
        <v>261657</v>
      </c>
    </row>
    <row r="31">
      <c r="A31" s="5" t="inlineStr">
        <is>
          <t>복리후생비</t>
        </is>
      </c>
      <c r="B31" s="7" t="n">
        <v>605639</v>
      </c>
      <c r="C31" s="7" t="n">
        <v>601646</v>
      </c>
    </row>
    <row r="32">
      <c r="A32" s="5" t="inlineStr">
        <is>
          <t>주식보상비용</t>
        </is>
      </c>
      <c r="B32" s="7" t="n">
        <v>32380</v>
      </c>
      <c r="C32" s="7" t="n">
        <v>24928</v>
      </c>
    </row>
    <row r="33">
      <c r="A33" s="8" t="inlineStr">
        <is>
          <t>합 계</t>
        </is>
      </c>
      <c r="B33" s="9" t="n">
        <v>4273167</v>
      </c>
      <c r="C33" s="9" t="n">
        <v>4024834</v>
      </c>
    </row>
    <row r="34">
      <c r="A34" s="2" t="inlineStr">
        <is>
          <t xml:space="preserve">  └ 푸팅검증: 합 계(행 33) − Σ(행)</t>
        </is>
      </c>
      <c r="B34" s="17">
        <f>IF(ABS(B33-(SUM(B29:B32)))&lt;1.5,TRUE,B33-(SUM(B29:B32)))</f>
        <v/>
      </c>
      <c r="C34" s="17">
        <f>IF(ABS(C33-(SUM(C29:C32)))&lt;1.5,TRUE,C33-(SUM(C29:C32)))</f>
        <v/>
      </c>
    </row>
    <row r="37">
      <c r="A37" s="10" t="inlineStr">
        <is>
          <t>■ 크로스 참조</t>
        </is>
      </c>
    </row>
    <row r="38">
      <c r="A38" s="2" t="inlineStr">
        <is>
          <t>주26 매출원가 합계 = PL 매출원가</t>
        </is>
      </c>
      <c r="B38" s="17">
        <f>IF(ABS(B9*1000-'PL'!B7)&lt;5000,TRUE,B9*1000-'PL'!B7)</f>
        <v/>
      </c>
      <c r="C38" s="2" t="inlineStr">
        <is>
          <t>→ PL!B7</t>
        </is>
      </c>
    </row>
  </sheetData>
  <conditionalFormatting sqref="B10">
    <cfRule type="expression" priority="1" dxfId="0">
      <formula>ISNUMBER(B10)</formula>
    </cfRule>
  </conditionalFormatting>
  <conditionalFormatting sqref="B23">
    <cfRule type="expression" priority="2" dxfId="0">
      <formula>ISNUMBER(B23)</formula>
    </cfRule>
  </conditionalFormatting>
  <conditionalFormatting sqref="B34">
    <cfRule type="expression" priority="3" dxfId="0">
      <formula>ISNUMBER(B34)</formula>
    </cfRule>
  </conditionalFormatting>
  <conditionalFormatting sqref="C10">
    <cfRule type="expression" priority="4" dxfId="0">
      <formula>ISNUMBER(C10)</formula>
    </cfRule>
  </conditionalFormatting>
  <conditionalFormatting sqref="C23">
    <cfRule type="expression" priority="5" dxfId="0">
      <formula>ISNUMBER(C23)</formula>
    </cfRule>
  </conditionalFormatting>
  <conditionalFormatting sqref="C34">
    <cfRule type="expression" priority="6" dxfId="0">
      <formula>ISNUMBER(C34)</formula>
    </cfRule>
  </conditionalFormatting>
  <conditionalFormatting sqref="B38">
    <cfRule type="expression" priority="7" dxfId="0">
      <formula>ISNUMBER(B38)</formula>
    </cfRule>
  </conditionalFormatting>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22"/>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27. 판매비와일반관리비</t>
        </is>
      </c>
      <c r="J1" s="15">
        <f>HYPERLINK("#총괄표!A1","◀ 총괄표")</f>
        <v/>
      </c>
    </row>
    <row r="3">
      <c r="A3" s="2" t="inlineStr">
        <is>
          <t>당기와 전기의 판매비와일반관리비는 다음과 같습니다.</t>
        </is>
      </c>
    </row>
    <row r="4">
      <c r="B4" s="2" t="inlineStr">
        <is>
          <t>(단위: 천원)</t>
        </is>
      </c>
    </row>
    <row r="5">
      <c r="A5" s="3" t="inlineStr">
        <is>
          <t>구 분</t>
        </is>
      </c>
      <c r="B5" s="3" t="inlineStr">
        <is>
          <t>당 기</t>
        </is>
      </c>
      <c r="C5" s="3" t="inlineStr">
        <is>
          <t>전 기</t>
        </is>
      </c>
    </row>
    <row r="6">
      <c r="A6" s="5" t="inlineStr">
        <is>
          <t>급여 및 상여</t>
        </is>
      </c>
      <c r="B6" s="7" t="n">
        <v>1564801</v>
      </c>
      <c r="C6" s="7" t="n">
        <v>1556363</v>
      </c>
    </row>
    <row r="7">
      <c r="A7" s="5" t="inlineStr">
        <is>
          <t>퇴직급여</t>
        </is>
      </c>
      <c r="B7" s="7" t="n">
        <v>140146</v>
      </c>
      <c r="C7" s="7" t="n">
        <v>128529</v>
      </c>
    </row>
    <row r="8">
      <c r="A8" s="5" t="inlineStr">
        <is>
          <t>복리후생비</t>
        </is>
      </c>
      <c r="B8" s="7" t="n">
        <v>280579</v>
      </c>
      <c r="C8" s="7" t="n">
        <v>287544</v>
      </c>
    </row>
    <row r="9">
      <c r="A9" s="5" t="inlineStr">
        <is>
          <t>세금과공과</t>
        </is>
      </c>
      <c r="B9" s="7" t="n">
        <v>28950</v>
      </c>
      <c r="C9" s="7" t="n">
        <v>35530</v>
      </c>
    </row>
    <row r="10">
      <c r="A10" s="5" t="inlineStr">
        <is>
          <t>지급수수료</t>
        </is>
      </c>
      <c r="B10" s="7" t="n">
        <v>361033</v>
      </c>
      <c r="C10" s="7" t="n">
        <v>312178</v>
      </c>
    </row>
    <row r="11">
      <c r="A11" s="5" t="inlineStr">
        <is>
          <t>지급임차료</t>
        </is>
      </c>
      <c r="B11" s="7" t="n">
        <v>48627</v>
      </c>
      <c r="C11" s="7" t="n">
        <v>48830</v>
      </c>
    </row>
    <row r="12">
      <c r="A12" s="5" t="inlineStr">
        <is>
          <t>접대비</t>
        </is>
      </c>
      <c r="B12" s="7" t="n">
        <v>160457</v>
      </c>
      <c r="C12" s="7" t="n">
        <v>174128</v>
      </c>
    </row>
    <row r="13">
      <c r="A13" s="5" t="inlineStr">
        <is>
          <t>감가상각비</t>
        </is>
      </c>
      <c r="B13" s="7" t="n">
        <v>126703</v>
      </c>
      <c r="C13" s="7" t="n">
        <v>138510</v>
      </c>
    </row>
    <row r="14">
      <c r="A14" s="5" t="inlineStr">
        <is>
          <t>대손상각비</t>
        </is>
      </c>
      <c r="B14" s="7" t="n">
        <v>9851</v>
      </c>
      <c r="C14" s="7" t="n">
        <v>158549</v>
      </c>
    </row>
    <row r="15">
      <c r="A15" s="5" t="inlineStr">
        <is>
          <t>주식보상비용</t>
        </is>
      </c>
      <c r="B15" s="7" t="n">
        <v>32380</v>
      </c>
      <c r="C15" s="7" t="n">
        <v>24928</v>
      </c>
    </row>
    <row r="16">
      <c r="A16" s="5" t="inlineStr">
        <is>
          <t>기 타</t>
        </is>
      </c>
      <c r="B16" s="7" t="n">
        <v>372023</v>
      </c>
      <c r="C16" s="7" t="n">
        <v>130563</v>
      </c>
    </row>
    <row r="17">
      <c r="A17" s="8" t="inlineStr">
        <is>
          <t>합 계</t>
        </is>
      </c>
      <c r="B17" s="9" t="n">
        <v>3125550</v>
      </c>
      <c r="C17" s="9" t="n">
        <v>2995652</v>
      </c>
    </row>
    <row r="18">
      <c r="A18" s="2" t="inlineStr">
        <is>
          <t xml:space="preserve">  └ 푸팅검증: 합 계(행 17) − Σ(행)</t>
        </is>
      </c>
      <c r="B18" s="17">
        <f>IF(ABS(B17-(SUM(B6:B16)))&lt;1.5,TRUE,B17-(SUM(B6:B16)))</f>
        <v/>
      </c>
      <c r="C18" s="17">
        <f>IF(ABS(C17-(SUM(C6:C16)))&lt;1.5,TRUE,C17-(SUM(C6:C16)))</f>
        <v/>
      </c>
    </row>
    <row r="21">
      <c r="A21" s="10" t="inlineStr">
        <is>
          <t>■ 크로스 참조</t>
        </is>
      </c>
    </row>
    <row r="22">
      <c r="A22" s="2" t="inlineStr">
        <is>
          <t>주27 판매비와일반관리비 합계 = PL 판매비와관리비</t>
        </is>
      </c>
      <c r="B22" s="17">
        <f>IF(ABS(B17*1000-'PL'!B9)&lt;5000,TRUE,B17*1000-'PL'!B9)</f>
        <v/>
      </c>
      <c r="C22" s="2" t="inlineStr">
        <is>
          <t>→ PL!B9</t>
        </is>
      </c>
    </row>
  </sheetData>
  <conditionalFormatting sqref="B18">
    <cfRule type="expression" priority="1" dxfId="0">
      <formula>ISNUMBER(B18)</formula>
    </cfRule>
  </conditionalFormatting>
  <conditionalFormatting sqref="C18">
    <cfRule type="expression" priority="2" dxfId="0">
      <formula>ISNUMBER(C18)</formula>
    </cfRule>
  </conditionalFormatting>
  <conditionalFormatting sqref="B22">
    <cfRule type="expression" priority="3" dxfId="0">
      <formula>ISNUMBER(B22)</formula>
    </cfRule>
  </conditionalFormatting>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22"/>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28. 금융수익 및 금융비용</t>
        </is>
      </c>
      <c r="J1" s="15">
        <f>HYPERLINK("#총괄표!A1","◀ 총괄표")</f>
        <v/>
      </c>
    </row>
    <row r="3">
      <c r="A3" s="2" t="inlineStr">
        <is>
          <t>당기와 전기의 금융수익 및 금융비용은 다음과 같습니다.</t>
        </is>
      </c>
    </row>
    <row r="4">
      <c r="B4" s="2" t="inlineStr">
        <is>
          <t>(단위: 천원)</t>
        </is>
      </c>
    </row>
    <row r="5">
      <c r="A5" s="3" t="inlineStr">
        <is>
          <t>구 분</t>
        </is>
      </c>
      <c r="B5" s="3" t="inlineStr">
        <is>
          <t>당 기</t>
        </is>
      </c>
      <c r="C5" s="3" t="inlineStr">
        <is>
          <t>전 기</t>
        </is>
      </c>
    </row>
    <row r="6">
      <c r="A6" s="5" t="inlineStr">
        <is>
          <t>금융수익</t>
        </is>
      </c>
      <c r="B6" s="4" t="inlineStr">
        <is>
          <t>금융수익</t>
        </is>
      </c>
      <c r="C6" s="4" t="inlineStr">
        <is>
          <t>금융수익</t>
        </is>
      </c>
    </row>
    <row r="7">
      <c r="A7" s="5" t="inlineStr">
        <is>
          <t>이자수익</t>
        </is>
      </c>
      <c r="B7" s="7" t="n">
        <v>112719</v>
      </c>
      <c r="C7" s="7" t="n">
        <v>229416</v>
      </c>
    </row>
    <row r="8">
      <c r="A8" s="5" t="inlineStr">
        <is>
          <t>배당금수익</t>
        </is>
      </c>
      <c r="B8" s="7" t="n">
        <v>70692</v>
      </c>
      <c r="C8" s="7" t="n">
        <v>30421</v>
      </c>
    </row>
    <row r="9">
      <c r="A9" s="5" t="inlineStr">
        <is>
          <t>당기손익-공정가치 측정 금융자산 평가이익</t>
        </is>
      </c>
      <c r="B9" s="7" t="n">
        <v>13160</v>
      </c>
      <c r="C9" s="7" t="n">
        <v>13740</v>
      </c>
    </row>
    <row r="10">
      <c r="A10" s="5" t="inlineStr">
        <is>
          <t>당기손익-공정가치 측정 금융자산 처분이익</t>
        </is>
      </c>
      <c r="B10" s="7" t="n">
        <v>585305</v>
      </c>
      <c r="C10" s="7" t="n">
        <v>0</v>
      </c>
    </row>
    <row r="11">
      <c r="A11" s="8" t="inlineStr">
        <is>
          <t>합 계</t>
        </is>
      </c>
      <c r="B11" s="9" t="n">
        <v>781876</v>
      </c>
      <c r="C11" s="9" t="n">
        <v>273577</v>
      </c>
    </row>
    <row r="12">
      <c r="A12" s="5" t="inlineStr">
        <is>
          <t>금융비용</t>
        </is>
      </c>
      <c r="B12" s="4" t="inlineStr">
        <is>
          <t>금융비용</t>
        </is>
      </c>
      <c r="C12" s="4" t="inlineStr">
        <is>
          <t>금융비용</t>
        </is>
      </c>
    </row>
    <row r="13">
      <c r="A13" s="5" t="inlineStr">
        <is>
          <t>이자비용</t>
        </is>
      </c>
      <c r="B13" s="7" t="n">
        <v>8232</v>
      </c>
      <c r="C13" s="7" t="n">
        <v>57186</v>
      </c>
    </row>
    <row r="14">
      <c r="A14" s="5" t="inlineStr">
        <is>
          <t>당기손익-공정가치 측정 금융자산 평가손실</t>
        </is>
      </c>
      <c r="B14" s="7" t="n">
        <v>97026</v>
      </c>
      <c r="C14" s="7" t="n">
        <v>0</v>
      </c>
    </row>
    <row r="15">
      <c r="A15" s="8" t="inlineStr">
        <is>
          <t>합 계</t>
        </is>
      </c>
      <c r="B15" s="9" t="n">
        <v>105258</v>
      </c>
      <c r="C15" s="9" t="n">
        <v>57186</v>
      </c>
    </row>
    <row r="16">
      <c r="A16" s="2" t="inlineStr">
        <is>
          <t xml:space="preserve">  └ 푸팅검증: 합 계(행 11) − Σ(행)</t>
        </is>
      </c>
      <c r="B16" s="17">
        <f>IF(ABS(B11-(SUM(B7:B10)))&lt;1.5,TRUE,B11-(SUM(B7:B10)))</f>
        <v/>
      </c>
      <c r="C16" s="17">
        <f>IF(ABS(C11-(SUM(C7:C10)))&lt;1.5,TRUE,C11-(SUM(C7:C10)))</f>
        <v/>
      </c>
    </row>
    <row r="17">
      <c r="A17" s="2" t="inlineStr">
        <is>
          <t xml:space="preserve">  └ 푸팅검증: 합 계(행 15) − Σ(행)</t>
        </is>
      </c>
      <c r="B17" s="17">
        <f>IF(ABS(B15-(SUM(B13:B14)))&lt;1.5,TRUE,B15-(SUM(B13:B14)))</f>
        <v/>
      </c>
      <c r="C17" s="17">
        <f>IF(ABS(C15-(SUM(C13:C14)))&lt;1.5,TRUE,C15-(SUM(C13:C14)))</f>
        <v/>
      </c>
    </row>
    <row r="20">
      <c r="A20" s="10" t="inlineStr">
        <is>
          <t>■ 크로스 참조</t>
        </is>
      </c>
    </row>
    <row r="21">
      <c r="A21" s="2" t="inlineStr">
        <is>
          <t>주28 금융수익 합계 = PL 금융수익</t>
        </is>
      </c>
      <c r="B21" s="17">
        <f>IF(ABS(B11*1000-'PL'!B11)&lt;5000,TRUE,B11*1000-'PL'!B11)</f>
        <v/>
      </c>
      <c r="C21" s="2" t="inlineStr">
        <is>
          <t>→ PL!B11</t>
        </is>
      </c>
    </row>
    <row r="22">
      <c r="A22" s="2" t="inlineStr">
        <is>
          <t>주28 금융비용 합계 = PL 금융비용</t>
        </is>
      </c>
      <c r="B22" s="17">
        <f>IF(ABS(B15*1000-'PL'!B12)&lt;5000,TRUE,B15*1000-'PL'!B12)</f>
        <v/>
      </c>
      <c r="C22" s="2" t="inlineStr">
        <is>
          <t>→ PL!B12</t>
        </is>
      </c>
    </row>
  </sheetData>
  <conditionalFormatting sqref="B16:B17">
    <cfRule type="expression" priority="1" dxfId="0">
      <formula>ISNUMBER(B16)</formula>
    </cfRule>
  </conditionalFormatting>
  <conditionalFormatting sqref="C16:C17">
    <cfRule type="expression" priority="2" dxfId="0">
      <formula>ISNUMBER(C16)</formula>
    </cfRule>
  </conditionalFormatting>
  <conditionalFormatting sqref="B21:B22">
    <cfRule type="expression" priority="3" dxfId="0">
      <formula>ISNUMBER(B21)</formula>
    </cfRule>
  </conditionalFormatting>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26"/>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29. 기타영업외수익 및 기타영업외비용</t>
        </is>
      </c>
      <c r="J1" s="15">
        <f>HYPERLINK("#총괄표!A1","◀ 총괄표")</f>
        <v/>
      </c>
    </row>
    <row r="3">
      <c r="A3" s="2" t="inlineStr">
        <is>
          <t>(1) 당기와 전기의 기타영업외수익은 다음과 같습니다.</t>
        </is>
      </c>
    </row>
    <row r="4">
      <c r="B4" s="2" t="inlineStr">
        <is>
          <t>(단위: 천원)</t>
        </is>
      </c>
    </row>
    <row r="5">
      <c r="A5" s="3" t="inlineStr">
        <is>
          <t>구 분</t>
        </is>
      </c>
      <c r="B5" s="3" t="inlineStr">
        <is>
          <t>당 기</t>
        </is>
      </c>
      <c r="C5" s="3" t="inlineStr">
        <is>
          <t>전 기</t>
        </is>
      </c>
    </row>
    <row r="6">
      <c r="A6" s="5" t="inlineStr">
        <is>
          <t>외환차익</t>
        </is>
      </c>
      <c r="B6" s="7" t="n">
        <v>54015</v>
      </c>
      <c r="C6" s="7" t="n">
        <v>20145</v>
      </c>
    </row>
    <row r="7">
      <c r="A7" s="5" t="inlineStr">
        <is>
          <t>외화환산이익</t>
        </is>
      </c>
      <c r="B7" s="7" t="n">
        <v>61644</v>
      </c>
      <c r="C7" s="7" t="n">
        <v>1951</v>
      </c>
    </row>
    <row r="8">
      <c r="A8" s="5" t="inlineStr">
        <is>
          <t>유형자산처분이익</t>
        </is>
      </c>
      <c r="B8" s="7" t="n">
        <v>328</v>
      </c>
      <c r="C8" s="7" t="n">
        <v>0</v>
      </c>
    </row>
    <row r="9">
      <c r="A9" s="5" t="inlineStr">
        <is>
          <t>무형자산손상환입</t>
        </is>
      </c>
      <c r="B9" s="7" t="n">
        <v>0</v>
      </c>
      <c r="C9" s="7" t="n">
        <v>240000</v>
      </c>
    </row>
    <row r="10">
      <c r="A10" s="5" t="inlineStr">
        <is>
          <t>잡이익</t>
        </is>
      </c>
      <c r="B10" s="7" t="n">
        <v>486</v>
      </c>
      <c r="C10" s="7" t="n">
        <v>7800</v>
      </c>
    </row>
    <row r="11">
      <c r="A11" s="8" t="inlineStr">
        <is>
          <t>합 계</t>
        </is>
      </c>
      <c r="B11" s="9" t="n">
        <v>116473</v>
      </c>
      <c r="C11" s="9" t="n">
        <v>269896</v>
      </c>
    </row>
    <row r="12">
      <c r="A12" s="2" t="inlineStr">
        <is>
          <t xml:space="preserve">  └ 푸팅검증: 합 계(행 11) − Σ(행)</t>
        </is>
      </c>
      <c r="B12" s="17">
        <f>IF(ABS(B11-(SUM(B6:B10)))&lt;1.5,TRUE,B11-(SUM(B6:B10)))</f>
        <v/>
      </c>
      <c r="C12" s="17">
        <f>IF(ABS(C11-(SUM(C6:C10)))&lt;1.5,TRUE,C11-(SUM(C6:C10)))</f>
        <v/>
      </c>
    </row>
    <row r="14">
      <c r="A14" s="2" t="inlineStr">
        <is>
          <t>(2) 당기와 전기의 기타영업외비용은 다음과 같습니다.</t>
        </is>
      </c>
    </row>
    <row r="15">
      <c r="B15" s="2" t="inlineStr">
        <is>
          <t>(단위: 천원)</t>
        </is>
      </c>
    </row>
    <row r="16">
      <c r="A16" s="3" t="inlineStr">
        <is>
          <t>구 분</t>
        </is>
      </c>
      <c r="B16" s="3" t="inlineStr">
        <is>
          <t>당 기</t>
        </is>
      </c>
      <c r="C16" s="3" t="inlineStr">
        <is>
          <t>전 기</t>
        </is>
      </c>
    </row>
    <row r="17">
      <c r="A17" s="5" t="inlineStr">
        <is>
          <t>외환차손</t>
        </is>
      </c>
      <c r="B17" s="7" t="n">
        <v>78961</v>
      </c>
      <c r="C17" s="7" t="n">
        <v>35999</v>
      </c>
    </row>
    <row r="18">
      <c r="A18" s="5" t="inlineStr">
        <is>
          <t>외화환산손실</t>
        </is>
      </c>
      <c r="B18" s="7" t="n">
        <v>14753</v>
      </c>
      <c r="C18" s="7" t="n">
        <v>9978</v>
      </c>
    </row>
    <row r="19">
      <c r="A19" s="5" t="inlineStr">
        <is>
          <t>잡손실</t>
        </is>
      </c>
      <c r="B19" s="7" t="n">
        <v>23</v>
      </c>
      <c r="C19" s="7" t="n">
        <v>972</v>
      </c>
    </row>
    <row r="20">
      <c r="A20" s="8" t="inlineStr">
        <is>
          <t>합 계</t>
        </is>
      </c>
      <c r="B20" s="9" t="n">
        <v>93737</v>
      </c>
      <c r="C20" s="9" t="n">
        <v>46949</v>
      </c>
    </row>
    <row r="21">
      <c r="A21" s="2" t="inlineStr">
        <is>
          <t xml:space="preserve">  └ 푸팅검증: 합 계(행 20) − Σ(행)</t>
        </is>
      </c>
      <c r="B21" s="17">
        <f>IF(ABS(B20-(SUM(B17:B19)))&lt;1.5,TRUE,B20-(SUM(B17:B19)))</f>
        <v/>
      </c>
      <c r="C21" s="17">
        <f>IF(ABS(C20-(SUM(C17:C19)))&lt;1.5,TRUE,C20-(SUM(C17:C19)))</f>
        <v/>
      </c>
    </row>
    <row r="24">
      <c r="A24" s="10" t="inlineStr">
        <is>
          <t>■ 크로스 참조</t>
        </is>
      </c>
    </row>
    <row r="25">
      <c r="A25" s="2" t="inlineStr">
        <is>
          <t>주29 기타영업외수익 합계 = PL 기타영업외수익</t>
        </is>
      </c>
      <c r="B25" s="17">
        <f>IF(ABS(B11*1000-'PL'!B13)&lt;5000,TRUE,B11*1000-'PL'!B13)</f>
        <v/>
      </c>
      <c r="C25" s="2" t="inlineStr">
        <is>
          <t>→ PL!B13</t>
        </is>
      </c>
    </row>
    <row r="26">
      <c r="A26" s="2" t="inlineStr">
        <is>
          <t>주29 기타영업외비용 합계 = PL 기타영업외비용</t>
        </is>
      </c>
      <c r="B26" s="17">
        <f>IF(ABS(B20*1000-'PL'!B14)&lt;5000,TRUE,B20*1000-'PL'!B14)</f>
        <v/>
      </c>
      <c r="C26" s="2" t="inlineStr">
        <is>
          <t>→ PL!B14</t>
        </is>
      </c>
    </row>
  </sheetData>
  <conditionalFormatting sqref="B12">
    <cfRule type="expression" priority="1" dxfId="0">
      <formula>ISNUMBER(B12)</formula>
    </cfRule>
  </conditionalFormatting>
  <conditionalFormatting sqref="B21">
    <cfRule type="expression" priority="2" dxfId="0">
      <formula>ISNUMBER(B21)</formula>
    </cfRule>
  </conditionalFormatting>
  <conditionalFormatting sqref="C12">
    <cfRule type="expression" priority="3" dxfId="0">
      <formula>ISNUMBER(C12)</formula>
    </cfRule>
  </conditionalFormatting>
  <conditionalFormatting sqref="C21">
    <cfRule type="expression" priority="4" dxfId="0">
      <formula>ISNUMBER(C21)</formula>
    </cfRule>
  </conditionalFormatting>
  <conditionalFormatting sqref="B25:B26">
    <cfRule type="expression" priority="5" dxfId="0">
      <formula>ISNUMBER(B25)</formula>
    </cfRule>
  </conditionalFormatting>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27"/>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30. 주당이익</t>
        </is>
      </c>
      <c r="J1" s="15">
        <f>HYPERLINK("#총괄표!A1","◀ 총괄표")</f>
        <v/>
      </c>
    </row>
    <row r="3">
      <c r="A3" s="2" t="inlineStr">
        <is>
          <t>(1) 기본주당이익당기와 전기 중 기본주당이익의 계산내역은 다음과 같습니다.</t>
        </is>
      </c>
    </row>
    <row r="4">
      <c r="B4" s="2" t="inlineStr">
        <is>
          <t>(단위: 원)</t>
        </is>
      </c>
    </row>
    <row r="5">
      <c r="A5" s="3" t="inlineStr">
        <is>
          <t>구 분</t>
        </is>
      </c>
      <c r="B5" s="3" t="inlineStr">
        <is>
          <t>당 기</t>
        </is>
      </c>
      <c r="C5" s="3" t="inlineStr">
        <is>
          <t>전 기</t>
        </is>
      </c>
    </row>
    <row r="6">
      <c r="A6" s="5" t="inlineStr">
        <is>
          <t>보통주순이익</t>
        </is>
      </c>
      <c r="B6" s="7" t="n">
        <v>2527450060</v>
      </c>
      <c r="C6" s="7" t="n">
        <v>1999174860</v>
      </c>
    </row>
    <row r="7">
      <c r="A7" s="5" t="inlineStr">
        <is>
          <t>가중평균보통유통주식수</t>
        </is>
      </c>
      <c r="B7" s="7" t="n">
        <v>12000000</v>
      </c>
      <c r="C7" s="7" t="n">
        <v>12000000</v>
      </c>
    </row>
    <row r="8">
      <c r="A8" s="5" t="inlineStr">
        <is>
          <t>주당이익</t>
        </is>
      </c>
      <c r="B8" s="7" t="n">
        <v>211</v>
      </c>
      <c r="C8" s="7" t="n">
        <v>167</v>
      </c>
    </row>
    <row r="10">
      <c r="A10" s="2" t="inlineStr">
        <is>
          <t>(2) 희석주당이익희석주당순이익은 모든 희석성 잠재적보통주가 보통주로 전환된다고 가정하여 조정한 가중평균유통보통주식수를 적용하여 산정하고 있습니다. 당사가 보유하고 있는 희석성 잠재적보통주에는 주식선택권이 있습니다. 주식선택권으로 인한 주식수는 주식선택권에 부가된 권리 행사의 금전적 가치에 기초하여 공정가치(회계기간의 평균시장가격)로 취득했을 때 얻게 될 주식수를 계산하고 동 주식수와 주식선택권이 행사된 것으로 가정할 경우 발행될 주식수를 비교하여 산정하였습니다. 전기말 현재 당사가 보유하고 있는 희석성 잠재적보통주의 희석효과가 없으므로 희석주당이익은 기본주당이익과 동일합니다. 당기말 현재 당사가 보유하고 있는 희석성 잠재적보통주의 희석효과는 다음과 같습니다.</t>
        </is>
      </c>
    </row>
    <row r="11">
      <c r="B11" s="2" t="inlineStr">
        <is>
          <t>(단위: 원)</t>
        </is>
      </c>
    </row>
    <row r="12">
      <c r="A12" s="3" t="inlineStr">
        <is>
          <t>구 분</t>
        </is>
      </c>
      <c r="B12" s="3" t="inlineStr">
        <is>
          <t>당 기</t>
        </is>
      </c>
    </row>
    <row r="13">
      <c r="A13" s="5" t="inlineStr">
        <is>
          <t>보통주당기순이익</t>
        </is>
      </c>
      <c r="B13" s="7" t="n">
        <v>2527450060</v>
      </c>
    </row>
    <row r="14">
      <c r="A14" s="5" t="inlineStr">
        <is>
          <t>가중평균유통보통주식수(*)</t>
        </is>
      </c>
      <c r="B14" s="7" t="n">
        <v>12014858</v>
      </c>
    </row>
    <row r="15">
      <c r="A15" s="5" t="inlineStr">
        <is>
          <t>희석주당손익</t>
        </is>
      </c>
      <c r="B15" s="7" t="n">
        <v>210</v>
      </c>
    </row>
    <row r="17">
      <c r="A17" s="2" t="inlineStr">
        <is>
          <t>(*) 가중평균유통보통주식수의 산정내역은 다음과 같습니다.</t>
        </is>
      </c>
    </row>
    <row r="18">
      <c r="B18" s="2" t="inlineStr">
        <is>
          <t>(단위: 주)</t>
        </is>
      </c>
    </row>
    <row r="19">
      <c r="A19" s="3" t="inlineStr">
        <is>
          <t>구 분</t>
        </is>
      </c>
      <c r="B19" s="3" t="inlineStr">
        <is>
          <t>당 기</t>
        </is>
      </c>
    </row>
    <row r="20">
      <c r="A20" s="5" t="inlineStr">
        <is>
          <t>가중평균유통보통주식수</t>
        </is>
      </c>
      <c r="B20" s="7" t="n">
        <v>12000000</v>
      </c>
    </row>
    <row r="21">
      <c r="A21" s="5" t="inlineStr">
        <is>
          <t>조정:</t>
        </is>
      </c>
      <c r="B21" s="4" t="inlineStr"/>
    </row>
    <row r="22">
      <c r="A22" s="5" t="inlineStr">
        <is>
          <t>주식선택권</t>
        </is>
      </c>
      <c r="B22" s="7" t="n">
        <v>14858</v>
      </c>
    </row>
    <row r="23">
      <c r="A23" s="5" t="inlineStr">
        <is>
          <t>가중평균유통보통주식수(희석)</t>
        </is>
      </c>
      <c r="B23" s="7" t="n">
        <v>12014858</v>
      </c>
    </row>
    <row r="26">
      <c r="A26" s="10" t="inlineStr">
        <is>
          <t>■ 크로스 참조</t>
        </is>
      </c>
    </row>
    <row r="27">
      <c r="A27" s="2" t="inlineStr">
        <is>
          <t>주30 주당이익 = PL 기본주당이익</t>
        </is>
      </c>
      <c r="B27" s="17">
        <f>IF(ABS(B8-'PL'!B25)&lt;0.5,TRUE,B8-'PL'!B25)</f>
        <v/>
      </c>
      <c r="C27" s="2" t="inlineStr">
        <is>
          <t>→ PL!B25</t>
        </is>
      </c>
    </row>
  </sheetData>
  <conditionalFormatting sqref="B27">
    <cfRule type="expression" priority="1" dxfId="0">
      <formula>ISNUMBER(B27)</formula>
    </cfRule>
  </conditionalFormatting>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16"/>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31. 배당금</t>
        </is>
      </c>
      <c r="J1" s="15">
        <f>HYPERLINK("#총괄표!A1","◀ 총괄표")</f>
        <v/>
      </c>
    </row>
    <row r="3">
      <c r="A3" s="2" t="inlineStr">
        <is>
          <t>(1) 당기와 전기의 배당금 산정의 내용은 다음과 같습니다.</t>
        </is>
      </c>
    </row>
    <row r="4">
      <c r="B4" s="2" t="inlineStr">
        <is>
          <t>(단위: 주, 원)</t>
        </is>
      </c>
    </row>
    <row r="5">
      <c r="A5" s="3" t="inlineStr">
        <is>
          <t>구 분</t>
        </is>
      </c>
      <c r="B5" s="3" t="inlineStr">
        <is>
          <t>당 기</t>
        </is>
      </c>
      <c r="C5" s="3" t="inlineStr">
        <is>
          <t>전 기</t>
        </is>
      </c>
    </row>
    <row r="6">
      <c r="A6" s="5" t="inlineStr">
        <is>
          <t>배당받을 주식수</t>
        </is>
      </c>
      <c r="B6" s="7" t="n">
        <v>12000000</v>
      </c>
      <c r="C6" s="7" t="n">
        <v>12000000</v>
      </c>
    </row>
    <row r="7">
      <c r="A7" s="5" t="inlineStr">
        <is>
          <t>주당액면금액</t>
        </is>
      </c>
      <c r="B7" s="7" t="n">
        <v>500</v>
      </c>
      <c r="C7" s="7" t="n">
        <v>500</v>
      </c>
    </row>
    <row r="8">
      <c r="A8" s="5" t="inlineStr">
        <is>
          <t>액면배당률</t>
        </is>
      </c>
      <c r="B8" s="4" t="inlineStr">
        <is>
          <t>36.00%</t>
        </is>
      </c>
      <c r="C8" s="4" t="inlineStr">
        <is>
          <t>36.00%</t>
        </is>
      </c>
    </row>
    <row r="9">
      <c r="A9" s="5" t="inlineStr">
        <is>
          <t>주당 배당금</t>
        </is>
      </c>
      <c r="B9" s="7" t="n">
        <v>180</v>
      </c>
      <c r="C9" s="7" t="n">
        <v>180</v>
      </c>
    </row>
    <row r="11">
      <c r="A11" s="2" t="inlineStr">
        <is>
          <t>(2) 당기와 전기의 배당성향의 계산내역은 다음과 같습니다.</t>
        </is>
      </c>
    </row>
    <row r="12">
      <c r="B12" s="2" t="inlineStr">
        <is>
          <t>(단위: 천원)</t>
        </is>
      </c>
    </row>
    <row r="13">
      <c r="A13" s="3" t="inlineStr">
        <is>
          <t>구 분</t>
        </is>
      </c>
      <c r="B13" s="3" t="inlineStr">
        <is>
          <t>당 기</t>
        </is>
      </c>
      <c r="C13" s="3" t="inlineStr">
        <is>
          <t>전 기</t>
        </is>
      </c>
    </row>
    <row r="14">
      <c r="A14" s="5" t="inlineStr">
        <is>
          <t>배당금</t>
        </is>
      </c>
      <c r="B14" s="7" t="n">
        <v>2160000</v>
      </c>
      <c r="C14" s="7" t="n">
        <v>2160000</v>
      </c>
    </row>
    <row r="15">
      <c r="A15" s="5" t="inlineStr">
        <is>
          <t>당기순이익</t>
        </is>
      </c>
      <c r="B15" s="7" t="n">
        <v>2527450</v>
      </c>
      <c r="C15" s="7" t="n">
        <v>1999175</v>
      </c>
    </row>
    <row r="16">
      <c r="A16" s="5" t="inlineStr">
        <is>
          <t>배당성향</t>
        </is>
      </c>
      <c r="B16" s="4" t="inlineStr">
        <is>
          <t>85.46%</t>
        </is>
      </c>
      <c r="C16" s="4" t="inlineStr">
        <is>
          <t>108.04%</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68"/>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32. 현금흐름표</t>
        </is>
      </c>
      <c r="J1" s="15">
        <f>HYPERLINK("#총괄표!A1","◀ 총괄표")</f>
        <v/>
      </c>
    </row>
    <row r="3">
      <c r="A3" s="2" t="inlineStr">
        <is>
          <t>(1) 영업으로부터 창출된 현금은 다음과 같습니다.</t>
        </is>
      </c>
    </row>
    <row r="4">
      <c r="B4" s="2" t="inlineStr">
        <is>
          <t>(단위: 천원)</t>
        </is>
      </c>
    </row>
    <row r="5">
      <c r="A5" s="3" t="inlineStr">
        <is>
          <t>구 분</t>
        </is>
      </c>
      <c r="B5" s="3" t="inlineStr">
        <is>
          <t>당 기</t>
        </is>
      </c>
      <c r="C5" s="3" t="inlineStr">
        <is>
          <t>전 기</t>
        </is>
      </c>
    </row>
    <row r="6">
      <c r="A6" s="5" t="inlineStr">
        <is>
          <t>법인세비용차감전순이익</t>
        </is>
      </c>
      <c r="B6" s="7" t="n">
        <v>2762564</v>
      </c>
      <c r="C6" s="7" t="n">
        <v>2422480</v>
      </c>
    </row>
    <row r="7">
      <c r="A7" s="5" t="inlineStr">
        <is>
          <t>조정 항목:</t>
        </is>
      </c>
      <c r="B7" s="4" t="inlineStr">
        <is>
          <t>조정 항목:</t>
        </is>
      </c>
      <c r="C7" s="4" t="inlineStr">
        <is>
          <t>조정 항목:</t>
        </is>
      </c>
    </row>
    <row r="8">
      <c r="A8" s="5" t="inlineStr">
        <is>
          <t>이자비용</t>
        </is>
      </c>
      <c r="B8" s="7" t="n">
        <v>8232</v>
      </c>
      <c r="C8" s="7" t="n">
        <v>57186</v>
      </c>
    </row>
    <row r="9">
      <c r="A9" s="5" t="inlineStr">
        <is>
          <t>외화환산손실</t>
        </is>
      </c>
      <c r="B9" s="7" t="n">
        <v>14753</v>
      </c>
      <c r="C9" s="7" t="n">
        <v>9978</v>
      </c>
    </row>
    <row r="10">
      <c r="A10" s="5" t="inlineStr">
        <is>
          <t>퇴직급여</t>
        </is>
      </c>
      <c r="B10" s="7" t="n">
        <v>282745</v>
      </c>
      <c r="C10" s="7" t="n">
        <v>261657</v>
      </c>
    </row>
    <row r="11">
      <c r="A11" s="5" t="inlineStr">
        <is>
          <t>유형자산감가상각비</t>
        </is>
      </c>
      <c r="B11" s="7" t="n">
        <v>129044</v>
      </c>
      <c r="C11" s="7" t="n">
        <v>144773</v>
      </c>
    </row>
    <row r="12">
      <c r="A12" s="5" t="inlineStr">
        <is>
          <t>사용권자산감가상각비</t>
        </is>
      </c>
      <c r="B12" s="7" t="n">
        <v>177439</v>
      </c>
      <c r="C12" s="7" t="n">
        <v>176295</v>
      </c>
    </row>
    <row r="13">
      <c r="A13" s="5" t="inlineStr">
        <is>
          <t>대손상각비</t>
        </is>
      </c>
      <c r="B13" s="7" t="n">
        <v>9851</v>
      </c>
      <c r="C13" s="7" t="n">
        <v>158549</v>
      </c>
    </row>
    <row r="14">
      <c r="A14" s="5" t="inlineStr">
        <is>
          <t>당기손익-공정가치 측정 금융자산 평가손실</t>
        </is>
      </c>
      <c r="B14" s="7" t="n">
        <v>97026</v>
      </c>
      <c r="C14" s="7" t="n">
        <v>0</v>
      </c>
    </row>
    <row r="15">
      <c r="A15" s="5" t="inlineStr">
        <is>
          <t>재고자산평가손실</t>
        </is>
      </c>
      <c r="B15" s="7" t="n">
        <v>325018</v>
      </c>
      <c r="C15" s="7" t="n">
        <v>361785</v>
      </c>
    </row>
    <row r="16">
      <c r="A16" s="5" t="inlineStr">
        <is>
          <t>복리후생비</t>
        </is>
      </c>
      <c r="B16" s="7" t="n">
        <v>66932</v>
      </c>
      <c r="C16" s="7" t="n">
        <v>43505</v>
      </c>
    </row>
    <row r="17">
      <c r="A17" s="5" t="inlineStr">
        <is>
          <t>주식보상비용</t>
        </is>
      </c>
      <c r="B17" s="7" t="n">
        <v>32380</v>
      </c>
      <c r="C17" s="7" t="n">
        <v>24928</v>
      </c>
    </row>
    <row r="18">
      <c r="A18" s="5" t="inlineStr">
        <is>
          <t>소송충당부채 전입액</t>
        </is>
      </c>
      <c r="B18" s="7" t="n">
        <v>234911</v>
      </c>
      <c r="C18" s="7" t="n">
        <v>0</v>
      </c>
    </row>
    <row r="19">
      <c r="A19" s="5" t="inlineStr">
        <is>
          <t>이자수익</t>
        </is>
      </c>
      <c r="B19" s="7" t="n">
        <v>-112719</v>
      </c>
      <c r="C19" s="7" t="n">
        <v>-229416</v>
      </c>
    </row>
    <row r="20">
      <c r="A20" s="5" t="inlineStr">
        <is>
          <t>당기손익-공정가치 측정 금융자산 평가이익</t>
        </is>
      </c>
      <c r="B20" s="7" t="n">
        <v>-13160</v>
      </c>
      <c r="C20" s="7" t="n">
        <v>-13740</v>
      </c>
    </row>
    <row r="21">
      <c r="A21" s="5" t="inlineStr">
        <is>
          <t>당기손익-공정가치 측정 금융자산 처분이익</t>
        </is>
      </c>
      <c r="B21" s="7" t="n">
        <v>-585305</v>
      </c>
      <c r="C21" s="7" t="n">
        <v>0</v>
      </c>
    </row>
    <row r="22">
      <c r="A22" s="5" t="inlineStr">
        <is>
          <t>배당금수익</t>
        </is>
      </c>
      <c r="B22" s="7" t="n">
        <v>-70692</v>
      </c>
      <c r="C22" s="7" t="n">
        <v>-30421</v>
      </c>
    </row>
    <row r="23">
      <c r="A23" s="5" t="inlineStr">
        <is>
          <t>외화환산이익</t>
        </is>
      </c>
      <c r="B23" s="7" t="n">
        <v>-61644</v>
      </c>
      <c r="C23" s="7" t="n">
        <v>-1951</v>
      </c>
    </row>
    <row r="24">
      <c r="A24" s="5" t="inlineStr">
        <is>
          <t>유형자산처분이익</t>
        </is>
      </c>
      <c r="B24" s="7" t="n">
        <v>-328</v>
      </c>
      <c r="C24" s="7" t="n">
        <v>0</v>
      </c>
    </row>
    <row r="25">
      <c r="A25" s="5" t="inlineStr">
        <is>
          <t>무형자산손상환입</t>
        </is>
      </c>
      <c r="B25" s="7" t="n">
        <v>0</v>
      </c>
      <c r="C25" s="7" t="n">
        <v>-240000</v>
      </c>
    </row>
    <row r="26">
      <c r="A26" s="5" t="inlineStr">
        <is>
          <t>영업활동으로 인한 자산ㆍ부채 변동 :</t>
        </is>
      </c>
      <c r="B26" s="4" t="inlineStr">
        <is>
          <t>영업활동으로 인한 자산ㆍ부채 변동 :</t>
        </is>
      </c>
      <c r="C26" s="4" t="inlineStr">
        <is>
          <t>영업활동으로 인한 자산ㆍ부채 변동 :</t>
        </is>
      </c>
    </row>
    <row r="27">
      <c r="A27" s="5" t="inlineStr">
        <is>
          <t>매출채권의 증가</t>
        </is>
      </c>
      <c r="B27" s="7" t="n">
        <v>-3933538</v>
      </c>
      <c r="C27" s="7" t="n">
        <v>-895179</v>
      </c>
    </row>
    <row r="28">
      <c r="A28" s="5" t="inlineStr">
        <is>
          <t>기타채권의 감소(증가)</t>
        </is>
      </c>
      <c r="B28" s="7" t="n">
        <v>-380052</v>
      </c>
      <c r="C28" s="7" t="n">
        <v>7685</v>
      </c>
    </row>
    <row r="29">
      <c r="A29" s="5" t="inlineStr">
        <is>
          <t>기타유동자산의 감소(증가)</t>
        </is>
      </c>
      <c r="B29" s="7" t="n">
        <v>-1345223</v>
      </c>
      <c r="C29" s="7" t="n">
        <v>2159636</v>
      </c>
    </row>
    <row r="30">
      <c r="A30" s="5" t="inlineStr">
        <is>
          <t>재고자산의 증가</t>
        </is>
      </c>
      <c r="B30" s="7" t="n">
        <v>-125299</v>
      </c>
      <c r="C30" s="7" t="n">
        <v>-343790</v>
      </c>
    </row>
    <row r="31">
      <c r="A31" s="5" t="inlineStr">
        <is>
          <t>매입채무의 증가</t>
        </is>
      </c>
      <c r="B31" s="7" t="n">
        <v>3054337</v>
      </c>
      <c r="C31" s="7" t="n">
        <v>815809</v>
      </c>
    </row>
    <row r="32">
      <c r="A32" s="5" t="inlineStr">
        <is>
          <t>기타지급채무의 증가(감소)</t>
        </is>
      </c>
      <c r="B32" s="7" t="n">
        <v>-597630</v>
      </c>
      <c r="C32" s="7" t="n">
        <v>723584</v>
      </c>
    </row>
    <row r="33">
      <c r="A33" s="5" t="inlineStr">
        <is>
          <t>기타유동부채의 증가(감소)</t>
        </is>
      </c>
      <c r="B33" s="7" t="n">
        <v>365093</v>
      </c>
      <c r="C33" s="7" t="n">
        <v>-2512685</v>
      </c>
    </row>
    <row r="34">
      <c r="A34" s="5" t="inlineStr">
        <is>
          <t>장기종업원급여부채의 감소</t>
        </is>
      </c>
      <c r="B34" s="7" t="n">
        <v>-25380</v>
      </c>
      <c r="C34" s="7" t="n">
        <v>-17300</v>
      </c>
    </row>
    <row r="35">
      <c r="A35" s="5" t="inlineStr">
        <is>
          <t>퇴직금의 지급</t>
        </is>
      </c>
      <c r="B35" s="7" t="n">
        <v>0</v>
      </c>
      <c r="C35" s="7" t="n">
        <v>-2070</v>
      </c>
    </row>
    <row r="36">
      <c r="A36" s="5" t="inlineStr">
        <is>
          <t>사외적립자산 납입</t>
        </is>
      </c>
      <c r="B36" s="7" t="n">
        <v>-200000</v>
      </c>
      <c r="C36" s="7" t="n">
        <v>-450000</v>
      </c>
    </row>
    <row r="37">
      <c r="A37" s="5" t="inlineStr">
        <is>
          <t>영업으로부터 창출된 현금</t>
        </is>
      </c>
      <c r="B37" s="7" t="n">
        <v>109355</v>
      </c>
      <c r="C37" s="7" t="n">
        <v>2631298</v>
      </c>
    </row>
    <row r="39">
      <c r="A39" s="2" t="inlineStr">
        <is>
          <t>(2) 현금의 유입ㆍ유출이 없는 거래 중 중요한 사항</t>
        </is>
      </c>
    </row>
    <row r="40">
      <c r="B40" s="2" t="inlineStr">
        <is>
          <t>(단위: 천원)</t>
        </is>
      </c>
    </row>
    <row r="41">
      <c r="A41" s="3" t="inlineStr">
        <is>
          <t>구 분</t>
        </is>
      </c>
      <c r="B41" s="3" t="inlineStr">
        <is>
          <t>당 기</t>
        </is>
      </c>
      <c r="C41" s="3" t="inlineStr">
        <is>
          <t>전 기</t>
        </is>
      </c>
    </row>
    <row r="42">
      <c r="A42" s="5" t="inlineStr">
        <is>
          <t>장기보증금의 유동성 대체</t>
        </is>
      </c>
      <c r="B42" s="7" t="n">
        <v>585216</v>
      </c>
      <c r="C42" s="7" t="n">
        <v>-585216</v>
      </c>
    </row>
    <row r="43">
      <c r="A43" s="5" t="inlineStr">
        <is>
          <t>장기대여금의 유동성 대체</t>
        </is>
      </c>
      <c r="B43" s="7" t="n">
        <v>29250</v>
      </c>
      <c r="C43" s="7" t="n">
        <v>36917</v>
      </c>
    </row>
    <row r="44">
      <c r="A44" s="5" t="inlineStr">
        <is>
          <t>사용권자산의 최초인식</t>
        </is>
      </c>
      <c r="B44" s="7" t="n">
        <v>0</v>
      </c>
      <c r="C44" s="7" t="n">
        <v>327235</v>
      </c>
    </row>
    <row r="45">
      <c r="A45" s="5" t="inlineStr">
        <is>
          <t>장기리스부채의 유동성 대체</t>
        </is>
      </c>
      <c r="B45" s="7" t="n">
        <v>119286</v>
      </c>
      <c r="C45" s="7" t="n">
        <v>69303</v>
      </c>
    </row>
    <row r="46">
      <c r="A46" s="5" t="inlineStr">
        <is>
          <t>복구충당부채의 유동성 대체</t>
        </is>
      </c>
      <c r="B46" s="7" t="n">
        <v>20000</v>
      </c>
      <c r="C46" s="7" t="n">
        <v>-20000</v>
      </c>
    </row>
    <row r="48">
      <c r="A48" s="2" t="inlineStr">
        <is>
          <t>(3) 재무활동에서 생기는 부채의 조정내용</t>
        </is>
      </c>
    </row>
    <row r="49">
      <c r="B49" s="2" t="inlineStr">
        <is>
          <t>(단위: 천원)</t>
        </is>
      </c>
    </row>
    <row r="50">
      <c r="A50" s="3" t="inlineStr">
        <is>
          <t>구 분</t>
        </is>
      </c>
      <c r="B50" s="3" t="inlineStr">
        <is>
          <t>유동성리스부채</t>
        </is>
      </c>
      <c r="C50" s="3" t="inlineStr">
        <is>
          <t>비유동성리스부채</t>
        </is>
      </c>
      <c r="D50" s="3" t="inlineStr">
        <is>
          <t>단기차입금</t>
        </is>
      </c>
      <c r="E50" s="3" t="inlineStr">
        <is>
          <t>미지급배당금</t>
        </is>
      </c>
      <c r="F50" s="3" t="inlineStr">
        <is>
          <t>합 계</t>
        </is>
      </c>
    </row>
    <row r="51">
      <c r="A51" s="5" t="inlineStr">
        <is>
          <t>전기초</t>
        </is>
      </c>
      <c r="B51" s="7" t="n">
        <v>125201</v>
      </c>
      <c r="C51" s="7" t="n">
        <v>21896</v>
      </c>
      <c r="D51" s="7" t="n">
        <v>1340000</v>
      </c>
      <c r="E51" s="7" t="n">
        <v>0</v>
      </c>
      <c r="F51" s="7" t="n">
        <v>1487097</v>
      </c>
    </row>
    <row r="52">
      <c r="A52" s="5" t="inlineStr">
        <is>
          <t>취득-리스</t>
        </is>
      </c>
      <c r="B52" s="7" t="n">
        <v>160542</v>
      </c>
      <c r="C52" s="7" t="n">
        <v>166693</v>
      </c>
      <c r="D52" s="7" t="n">
        <v>0</v>
      </c>
      <c r="E52" s="7" t="n">
        <v>0</v>
      </c>
      <c r="F52" s="7" t="n">
        <v>327235</v>
      </c>
    </row>
    <row r="53">
      <c r="A53" s="5" t="inlineStr">
        <is>
          <t>배당결의</t>
        </is>
      </c>
      <c r="B53" s="7" t="n">
        <v>0</v>
      </c>
      <c r="C53" s="7" t="n">
        <v>0</v>
      </c>
      <c r="D53" s="7" t="n">
        <v>0</v>
      </c>
      <c r="E53" s="7" t="n">
        <v>2160000</v>
      </c>
      <c r="F53" s="7" t="n">
        <v>2160000</v>
      </c>
    </row>
    <row r="54">
      <c r="A54" s="5" t="inlineStr">
        <is>
          <t>기타 비금융변동</t>
        </is>
      </c>
      <c r="B54" s="7" t="n">
        <v>69303</v>
      </c>
      <c r="C54" s="7" t="n">
        <v>-69303</v>
      </c>
      <c r="D54" s="7" t="n">
        <v>0</v>
      </c>
      <c r="E54" s="7" t="n">
        <v>0</v>
      </c>
      <c r="F54" s="7" t="n">
        <v>0</v>
      </c>
    </row>
    <row r="55">
      <c r="A55" s="5" t="inlineStr">
        <is>
          <t>재무활동현금흐름</t>
        </is>
      </c>
      <c r="B55" s="7" t="n">
        <v>-178045</v>
      </c>
      <c r="C55" s="7" t="n">
        <v>0</v>
      </c>
      <c r="D55" s="7" t="n">
        <v>-1340000</v>
      </c>
      <c r="E55" s="7" t="n">
        <v>-2160000</v>
      </c>
      <c r="F55" s="7" t="n">
        <v>-3678045</v>
      </c>
    </row>
    <row r="56">
      <c r="A56" s="8" t="inlineStr">
        <is>
          <t>전기말</t>
        </is>
      </c>
      <c r="B56" s="9" t="n">
        <v>177001</v>
      </c>
      <c r="C56" s="9" t="n">
        <v>119286</v>
      </c>
      <c r="D56" s="9" t="n">
        <v>0</v>
      </c>
      <c r="E56" s="9" t="n">
        <v>0</v>
      </c>
      <c r="F56" s="9" t="n">
        <v>296287</v>
      </c>
    </row>
    <row r="57">
      <c r="A57" s="5" t="inlineStr">
        <is>
          <t>당기초</t>
        </is>
      </c>
      <c r="B57" s="7" t="n">
        <v>177001</v>
      </c>
      <c r="C57" s="7" t="n">
        <v>119286</v>
      </c>
      <c r="D57" s="7" t="n">
        <v>0</v>
      </c>
      <c r="E57" s="7" t="n">
        <v>0</v>
      </c>
      <c r="F57" s="7" t="n">
        <v>296287</v>
      </c>
    </row>
    <row r="58">
      <c r="A58" s="5" t="inlineStr">
        <is>
          <t>배당결의</t>
        </is>
      </c>
      <c r="B58" s="7" t="n">
        <v>0</v>
      </c>
      <c r="C58" s="7" t="n">
        <v>0</v>
      </c>
      <c r="D58" s="7" t="n">
        <v>0</v>
      </c>
      <c r="E58" s="7" t="n">
        <v>2160000</v>
      </c>
      <c r="F58" s="7" t="n">
        <v>2160000</v>
      </c>
    </row>
    <row r="59">
      <c r="A59" s="5" t="inlineStr">
        <is>
          <t>기타 비금융변동</t>
        </is>
      </c>
      <c r="B59" s="7" t="n">
        <v>119286</v>
      </c>
      <c r="C59" s="7" t="n">
        <v>-119286</v>
      </c>
      <c r="D59" s="7" t="n">
        <v>0</v>
      </c>
      <c r="E59" s="7" t="n">
        <v>0</v>
      </c>
      <c r="F59" s="7" t="n">
        <v>0</v>
      </c>
    </row>
    <row r="60">
      <c r="A60" s="5" t="inlineStr">
        <is>
          <t>재무활동현금흐름</t>
        </is>
      </c>
      <c r="B60" s="7" t="n">
        <v>-177001</v>
      </c>
      <c r="C60" s="7" t="n">
        <v>0</v>
      </c>
      <c r="D60" s="7" t="n">
        <v>0</v>
      </c>
      <c r="E60" s="7" t="n">
        <v>-2160000</v>
      </c>
      <c r="F60" s="7" t="n">
        <v>-2337001</v>
      </c>
    </row>
    <row r="61">
      <c r="A61" s="8" t="inlineStr">
        <is>
          <t>당기말</t>
        </is>
      </c>
      <c r="B61" s="9" t="n">
        <v>119286</v>
      </c>
      <c r="C61" s="9" t="n">
        <v>0</v>
      </c>
      <c r="D61" s="9" t="n">
        <v>0</v>
      </c>
      <c r="E61" s="9" t="n">
        <v>0</v>
      </c>
      <c r="F61" s="9" t="n">
        <v>119286</v>
      </c>
    </row>
    <row r="62">
      <c r="A62" s="2" t="inlineStr">
        <is>
          <t xml:space="preserve">  └ 푸팅검증: 전기말(행 56) − Σ(행)</t>
        </is>
      </c>
      <c r="B62" s="17">
        <f>IF(ABS(B56-(SUM(B51:B55)))&lt;1.5,TRUE,B56-(SUM(B51:B55)))</f>
        <v/>
      </c>
      <c r="C62" s="17">
        <f>IF(ABS(C56-(SUM(C51:C55)))&lt;1.5,TRUE,C56-(SUM(C51:C55)))</f>
        <v/>
      </c>
      <c r="F62" s="17">
        <f>IF(ABS(F56-(SUM(F51:F55)))&lt;1.5,TRUE,F56-(SUM(F51:F55)))</f>
        <v/>
      </c>
    </row>
    <row r="63">
      <c r="A63" s="2" t="inlineStr">
        <is>
          <t xml:space="preserve">  └ 푸팅검증: 당기말(행 61) − Σ(행)</t>
        </is>
      </c>
      <c r="B63" s="17">
        <f>IF(ABS(B61-(SUM(B57:B60)))&lt;1.5,TRUE,B61-(SUM(B57:B60)))</f>
        <v/>
      </c>
      <c r="F63" s="17">
        <f>IF(ABS(F61-(SUM(F57:F60)))&lt;1.5,TRUE,F61-(SUM(F57:F60)))</f>
        <v/>
      </c>
    </row>
    <row r="66">
      <c r="A66" s="10" t="inlineStr">
        <is>
          <t>■ 크로스 참조</t>
        </is>
      </c>
    </row>
    <row r="67">
      <c r="A67" s="2" t="inlineStr">
        <is>
          <t>주32 법인세비용차감전순이익 = PL 법인세비용차감전순이익</t>
        </is>
      </c>
      <c r="B67" s="17">
        <f>IF(ABS(B6*1000-'PL'!B15)&lt;5000,TRUE,B6*1000-'PL'!B15)</f>
        <v/>
      </c>
      <c r="C67" s="2" t="inlineStr">
        <is>
          <t>→ PL!B15</t>
        </is>
      </c>
    </row>
    <row r="68">
      <c r="A68" s="2" t="inlineStr">
        <is>
          <t>주32 영업으로부터 창출된 현금 = CF 영업으로부터 창출된 현금흐름</t>
        </is>
      </c>
      <c r="B68" s="17">
        <f>IF(ABS(B37*1000-'CF'!B7)&lt;5000,TRUE,B37*1000-'CF'!B7)</f>
        <v/>
      </c>
      <c r="C68" s="2" t="inlineStr">
        <is>
          <t>→ CF!B7</t>
        </is>
      </c>
    </row>
  </sheetData>
  <conditionalFormatting sqref="B62:B63">
    <cfRule type="expression" priority="1" dxfId="0">
      <formula>ISNUMBER(B62)</formula>
    </cfRule>
  </conditionalFormatting>
  <conditionalFormatting sqref="C62">
    <cfRule type="expression" priority="2" dxfId="0">
      <formula>ISNUMBER(C62)</formula>
    </cfRule>
  </conditionalFormatting>
  <conditionalFormatting sqref="F62:F63">
    <cfRule type="expression" priority="3" dxfId="0">
      <formula>ISNUMBER(F62)</formula>
    </cfRule>
  </conditionalFormatting>
  <conditionalFormatting sqref="B67:B68">
    <cfRule type="expression" priority="4" dxfId="0">
      <formula>ISNUMBER(B67)</formula>
    </cfRule>
  </conditionalFormatting>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76"/>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33. 우발부채와 약정사항</t>
        </is>
      </c>
      <c r="J1" s="15">
        <f>HYPERLINK("#총괄표!A1","◀ 총괄표")</f>
        <v/>
      </c>
    </row>
    <row r="3">
      <c r="A3" s="2" t="inlineStr">
        <is>
          <t>(1) 당기말과 전기말 현재 금융기관과 체결하고 있는 약정금액은 다음과 같습니다.&lt;당기말&gt;</t>
        </is>
      </c>
    </row>
    <row r="4">
      <c r="B4" s="2" t="inlineStr">
        <is>
          <t>(단위: 천원, USD)</t>
        </is>
      </c>
    </row>
    <row r="5">
      <c r="A5" s="3" t="inlineStr">
        <is>
          <t>약정사항</t>
        </is>
      </c>
      <c r="B5" s="3" t="inlineStr">
        <is>
          <t>금융기관</t>
        </is>
      </c>
      <c r="C5" s="3" t="inlineStr">
        <is>
          <t>한도액</t>
        </is>
      </c>
      <c r="D5" s="3" t="inlineStr">
        <is>
          <t>사용액</t>
        </is>
      </c>
    </row>
    <row r="6">
      <c r="A6" s="5" t="inlineStr">
        <is>
          <t>수입신용장</t>
        </is>
      </c>
      <c r="B6" s="4" t="inlineStr">
        <is>
          <t>(주)신한은행</t>
        </is>
      </c>
      <c r="C6" s="4" t="inlineStr">
        <is>
          <t>USD 3,000,000</t>
        </is>
      </c>
      <c r="D6" s="4" t="inlineStr">
        <is>
          <t>USD 1,518,525</t>
        </is>
      </c>
    </row>
    <row r="7">
      <c r="A7" s="5" t="inlineStr">
        <is>
          <t>운전자금대출</t>
        </is>
      </c>
      <c r="B7" s="4" t="inlineStr">
        <is>
          <t>(주)신한은행</t>
        </is>
      </c>
      <c r="C7" s="7" t="n">
        <v>1950000</v>
      </c>
      <c r="D7" s="7" t="n">
        <v>0</v>
      </c>
    </row>
    <row r="8">
      <c r="A8" s="5" t="inlineStr">
        <is>
          <t>법인카드</t>
        </is>
      </c>
      <c r="B8" s="4" t="inlineStr">
        <is>
          <t>현대카드(주)</t>
        </is>
      </c>
      <c r="C8" s="7" t="n">
        <v>120000</v>
      </c>
      <c r="D8" s="7" t="n">
        <v>28278</v>
      </c>
    </row>
    <row r="9">
      <c r="A9" s="5" t="inlineStr">
        <is>
          <t>법인카드</t>
        </is>
      </c>
      <c r="B9" s="4" t="inlineStr">
        <is>
          <t>(주)하나카드</t>
        </is>
      </c>
      <c r="C9" s="7" t="n">
        <v>20000</v>
      </c>
      <c r="D9" s="7" t="n">
        <v>2409</v>
      </c>
    </row>
    <row r="10">
      <c r="A10" s="5" t="inlineStr">
        <is>
          <t>법인카드</t>
        </is>
      </c>
      <c r="B10" s="4" t="inlineStr">
        <is>
          <t>국민카드</t>
        </is>
      </c>
      <c r="C10" s="7" t="n">
        <v>100000</v>
      </c>
      <c r="D10" s="7" t="n">
        <v>5815</v>
      </c>
    </row>
    <row r="12">
      <c r="A12" s="2" t="inlineStr">
        <is>
          <t>&lt;전기말&gt;</t>
        </is>
      </c>
    </row>
    <row r="13">
      <c r="B13" s="2" t="inlineStr">
        <is>
          <t>(단위: 천원, USD)</t>
        </is>
      </c>
    </row>
    <row r="14">
      <c r="A14" s="3" t="inlineStr">
        <is>
          <t>약정사항</t>
        </is>
      </c>
      <c r="B14" s="3" t="inlineStr">
        <is>
          <t>금융기관</t>
        </is>
      </c>
      <c r="C14" s="3" t="inlineStr">
        <is>
          <t>한도액</t>
        </is>
      </c>
      <c r="D14" s="3" t="inlineStr">
        <is>
          <t>사용액</t>
        </is>
      </c>
    </row>
    <row r="15">
      <c r="A15" s="5" t="inlineStr">
        <is>
          <t>수입신용장</t>
        </is>
      </c>
      <c r="B15" s="4" t="inlineStr">
        <is>
          <t>(주)신한은행</t>
        </is>
      </c>
      <c r="C15" s="4" t="inlineStr">
        <is>
          <t>USD 3,000,000</t>
        </is>
      </c>
      <c r="D15" s="4" t="inlineStr">
        <is>
          <t>USD 221,628</t>
        </is>
      </c>
    </row>
    <row r="16">
      <c r="A16" s="5" t="inlineStr">
        <is>
          <t>운전자금대출</t>
        </is>
      </c>
      <c r="B16" s="4" t="inlineStr">
        <is>
          <t>(주)신한은행</t>
        </is>
      </c>
      <c r="C16" s="7" t="n">
        <v>1950000</v>
      </c>
      <c r="D16" s="7" t="n">
        <v>0</v>
      </c>
    </row>
    <row r="17">
      <c r="A17" s="5" t="inlineStr">
        <is>
          <t>법인카드</t>
        </is>
      </c>
      <c r="B17" s="4" t="inlineStr">
        <is>
          <t>현대카드(주)</t>
        </is>
      </c>
      <c r="C17" s="7" t="n">
        <v>120000</v>
      </c>
      <c r="D17" s="7" t="n">
        <v>29892</v>
      </c>
    </row>
    <row r="18">
      <c r="A18" s="5" t="inlineStr">
        <is>
          <t>법인카드</t>
        </is>
      </c>
      <c r="B18" s="4" t="inlineStr">
        <is>
          <t>(주)하나카드</t>
        </is>
      </c>
      <c r="C18" s="7" t="n">
        <v>20000</v>
      </c>
      <c r="D18" s="7" t="n">
        <v>3783</v>
      </c>
    </row>
    <row r="19">
      <c r="A19" s="5" t="inlineStr">
        <is>
          <t>법인카드</t>
        </is>
      </c>
      <c r="B19" s="4" t="inlineStr">
        <is>
          <t>국민카드</t>
        </is>
      </c>
      <c r="C19" s="7" t="n">
        <v>100000</v>
      </c>
      <c r="D19" s="7" t="n">
        <v>5714</v>
      </c>
    </row>
    <row r="21">
      <c r="A21" s="2" t="inlineStr">
        <is>
          <t>(2) 당기말과 전기말 현재 당사가 금융기관 등에 제공하고 있는 담보 내역은 다음과 같습니다.</t>
        </is>
      </c>
    </row>
    <row r="22">
      <c r="A22" s="2" t="inlineStr">
        <is>
          <t>&lt;당기말&gt;</t>
        </is>
      </c>
    </row>
    <row r="23">
      <c r="B23" s="2" t="inlineStr">
        <is>
          <t>(단위: 천원)</t>
        </is>
      </c>
    </row>
    <row r="24">
      <c r="A24" s="3" t="inlineStr">
        <is>
          <t>담보권자</t>
        </is>
      </c>
      <c r="B24" s="3" t="inlineStr">
        <is>
          <t>담보물건</t>
        </is>
      </c>
      <c r="C24" s="3" t="inlineStr">
        <is>
          <t>장부금액</t>
        </is>
      </c>
      <c r="D24" s="3" t="inlineStr">
        <is>
          <t>담보설정액</t>
        </is>
      </c>
      <c r="E24" s="3" t="inlineStr">
        <is>
          <t>채무금액</t>
        </is>
      </c>
      <c r="F24" s="3" t="inlineStr">
        <is>
          <t>관련 내역</t>
        </is>
      </c>
    </row>
    <row r="25">
      <c r="A25" s="5" t="inlineStr">
        <is>
          <t>소프트웨어공제조합</t>
        </is>
      </c>
      <c r="B25" s="4" t="inlineStr">
        <is>
          <t>당기손익-공정가치측정 금융자산</t>
        </is>
      </c>
      <c r="C25" s="7" t="n">
        <v>286876</v>
      </c>
      <c r="D25" s="7" t="n">
        <v>286876</v>
      </c>
      <c r="E25" s="7" t="n">
        <v>0</v>
      </c>
      <c r="F25" s="4" t="inlineStr">
        <is>
          <t>거래이행보증</t>
        </is>
      </c>
    </row>
    <row r="27">
      <c r="A27" s="2" t="inlineStr">
        <is>
          <t>&lt;전기말&gt;</t>
        </is>
      </c>
    </row>
    <row r="28">
      <c r="B28" s="2" t="inlineStr">
        <is>
          <t>(단위: 천원)</t>
        </is>
      </c>
    </row>
    <row r="29">
      <c r="A29" s="3" t="inlineStr">
        <is>
          <t>담보권자</t>
        </is>
      </c>
      <c r="B29" s="3" t="inlineStr">
        <is>
          <t>담보물건</t>
        </is>
      </c>
      <c r="C29" s="3" t="inlineStr">
        <is>
          <t>장부금액</t>
        </is>
      </c>
      <c r="D29" s="3" t="inlineStr">
        <is>
          <t>담보설정액</t>
        </is>
      </c>
      <c r="E29" s="3" t="inlineStr">
        <is>
          <t>채무금액</t>
        </is>
      </c>
      <c r="F29" s="3" t="inlineStr">
        <is>
          <t>관련 내역</t>
        </is>
      </c>
    </row>
    <row r="30">
      <c r="A30" s="5" t="inlineStr">
        <is>
          <t>소프트웨어공제조합</t>
        </is>
      </c>
      <c r="B30" s="4" t="inlineStr">
        <is>
          <t>당기손익-공정가치측정 금융자산</t>
        </is>
      </c>
      <c r="C30" s="7" t="n">
        <v>277450</v>
      </c>
      <c r="D30" s="7" t="n">
        <v>277450</v>
      </c>
      <c r="E30" s="7" t="n">
        <v>0</v>
      </c>
      <c r="F30" s="4" t="inlineStr">
        <is>
          <t>거래이행보증</t>
        </is>
      </c>
    </row>
    <row r="32">
      <c r="A32" s="2" t="inlineStr">
        <is>
          <t>(3) 당기말과 전기말 현재 당사가 타인으로부터 제공받은 지급보증 내역은 다음과 같습니다.&lt;당기말&gt;</t>
        </is>
      </c>
    </row>
    <row r="33">
      <c r="B33" s="2" t="inlineStr">
        <is>
          <t>(단위: 천원)</t>
        </is>
      </c>
    </row>
    <row r="34">
      <c r="A34" s="3" t="inlineStr">
        <is>
          <t>제공기관</t>
        </is>
      </c>
      <c r="B34" s="3" t="inlineStr">
        <is>
          <t>내 용</t>
        </is>
      </c>
      <c r="C34" s="3" t="inlineStr">
        <is>
          <t>한도액</t>
        </is>
      </c>
      <c r="D34" s="3" t="inlineStr">
        <is>
          <t>실행액</t>
        </is>
      </c>
    </row>
    <row r="35">
      <c r="A35" s="5" t="inlineStr">
        <is>
          <t>소프트웨어공제조합</t>
        </is>
      </c>
      <c r="B35" s="4" t="inlineStr">
        <is>
          <t>입찰보증</t>
        </is>
      </c>
      <c r="C35" s="7" t="n">
        <v>4590018</v>
      </c>
      <c r="D35" s="7" t="n">
        <v>713899</v>
      </c>
    </row>
    <row r="36">
      <c r="A36" s="5" t="inlineStr">
        <is>
          <t>소프트웨어공제조합</t>
        </is>
      </c>
      <c r="B36" s="4" t="inlineStr">
        <is>
          <t>계약/하자보증</t>
        </is>
      </c>
      <c r="C36" s="7" t="n">
        <v>9466913</v>
      </c>
      <c r="D36" s="7" t="n">
        <v>4985551</v>
      </c>
    </row>
    <row r="37">
      <c r="A37" s="5" t="inlineStr">
        <is>
          <t>소프트웨어공제조합</t>
        </is>
      </c>
      <c r="B37" s="4" t="inlineStr">
        <is>
          <t>선급금/기타보증</t>
        </is>
      </c>
      <c r="C37" s="7" t="n">
        <v>3729390</v>
      </c>
      <c r="D37" s="7" t="n">
        <v>2359209</v>
      </c>
    </row>
    <row r="38">
      <c r="A38" s="5" t="inlineStr">
        <is>
          <t>소프트웨어공제조합</t>
        </is>
      </c>
      <c r="B38" s="4" t="inlineStr">
        <is>
          <t>소 계</t>
        </is>
      </c>
      <c r="C38" s="7" t="n">
        <v>17786321</v>
      </c>
      <c r="D38" s="7" t="n">
        <v>8058659</v>
      </c>
    </row>
    <row r="39">
      <c r="A39" s="5" t="inlineStr">
        <is>
          <t>서울보증보험(주)</t>
        </is>
      </c>
      <c r="B39" s="4" t="inlineStr">
        <is>
          <t>이행계약 등</t>
        </is>
      </c>
      <c r="C39" s="7" t="n">
        <v>90139</v>
      </c>
      <c r="D39" s="7" t="n">
        <v>90139</v>
      </c>
    </row>
    <row r="40">
      <c r="A40" s="8" t="inlineStr">
        <is>
          <t>합 계</t>
        </is>
      </c>
      <c r="B40" s="18" t="inlineStr">
        <is>
          <t>합 계</t>
        </is>
      </c>
      <c r="C40" s="9" t="n">
        <v>17876460</v>
      </c>
      <c r="D40" s="9" t="n">
        <v>8148798</v>
      </c>
    </row>
    <row r="41">
      <c r="A41" s="2" t="inlineStr">
        <is>
          <t xml:space="preserve">  └ 푸팅검증: 합 계(행 40) − 그룹합</t>
        </is>
      </c>
      <c r="C41" s="17">
        <f>IF(ABS(C40-(SUM(C38:C39)))&lt;1.5,TRUE,C40-(SUM(C38:C39)))</f>
        <v/>
      </c>
      <c r="D41" s="17">
        <f>IF(ABS(D40-(SUM(D38:D39)))&lt;1.5,TRUE,D40-(SUM(D38:D39)))</f>
        <v/>
      </c>
    </row>
    <row r="43">
      <c r="A43" s="2" t="inlineStr">
        <is>
          <t>&lt;전기말&gt;</t>
        </is>
      </c>
    </row>
    <row r="44">
      <c r="B44" s="2" t="inlineStr">
        <is>
          <t>(단위: 천원)</t>
        </is>
      </c>
    </row>
    <row r="45">
      <c r="A45" s="3" t="inlineStr">
        <is>
          <t>제공기관</t>
        </is>
      </c>
      <c r="B45" s="3" t="inlineStr">
        <is>
          <t>내 용</t>
        </is>
      </c>
      <c r="C45" s="3" t="inlineStr">
        <is>
          <t>한도액</t>
        </is>
      </c>
      <c r="D45" s="3" t="inlineStr">
        <is>
          <t>실행액</t>
        </is>
      </c>
    </row>
    <row r="46">
      <c r="A46" s="5" t="inlineStr">
        <is>
          <t>소프트웨어공제조합</t>
        </is>
      </c>
      <c r="B46" s="4" t="inlineStr">
        <is>
          <t>입찰보증</t>
        </is>
      </c>
      <c r="C46" s="7" t="n">
        <v>4439206</v>
      </c>
      <c r="D46" s="7" t="n">
        <v>468706</v>
      </c>
    </row>
    <row r="47">
      <c r="A47" s="5" t="inlineStr">
        <is>
          <t>소프트웨어공제조합</t>
        </is>
      </c>
      <c r="B47" s="4" t="inlineStr">
        <is>
          <t>계약/하자보증</t>
        </is>
      </c>
      <c r="C47" s="7" t="n">
        <v>9155861</v>
      </c>
      <c r="D47" s="7" t="n">
        <v>6854077</v>
      </c>
    </row>
    <row r="48">
      <c r="A48" s="5" t="inlineStr">
        <is>
          <t>소프트웨어공제조합</t>
        </is>
      </c>
      <c r="B48" s="4" t="inlineStr">
        <is>
          <t>선급금/기타보증</t>
        </is>
      </c>
      <c r="C48" s="7" t="n">
        <v>3623743</v>
      </c>
      <c r="D48" s="7" t="n">
        <v>3623743</v>
      </c>
    </row>
    <row r="49">
      <c r="A49" s="5" t="inlineStr">
        <is>
          <t>소프트웨어공제조합</t>
        </is>
      </c>
      <c r="B49" s="4" t="inlineStr">
        <is>
          <t>소 계</t>
        </is>
      </c>
      <c r="C49" s="7" t="n">
        <v>17218810</v>
      </c>
      <c r="D49" s="7" t="n">
        <v>10946526</v>
      </c>
    </row>
    <row r="50">
      <c r="A50" s="5" t="inlineStr">
        <is>
          <t>서울보증보험(주)</t>
        </is>
      </c>
      <c r="B50" s="4" t="inlineStr">
        <is>
          <t>이행계약 등</t>
        </is>
      </c>
      <c r="C50" s="7" t="n">
        <v>49877</v>
      </c>
      <c r="D50" s="7" t="n">
        <v>49877</v>
      </c>
    </row>
    <row r="51">
      <c r="A51" s="8" t="inlineStr">
        <is>
          <t>합 계</t>
        </is>
      </c>
      <c r="B51" s="18" t="inlineStr">
        <is>
          <t>합 계</t>
        </is>
      </c>
      <c r="C51" s="9" t="n">
        <v>17268687</v>
      </c>
      <c r="D51" s="9" t="n">
        <v>10996403</v>
      </c>
    </row>
    <row r="52">
      <c r="A52" s="2" t="inlineStr">
        <is>
          <t xml:space="preserve">  └ 푸팅검증: 합 계(행 51) − 그룹합</t>
        </is>
      </c>
      <c r="C52" s="17">
        <f>IF(ABS(C51-(SUM(C49:C50)))&lt;1.5,TRUE,C51-(SUM(C49:C50)))</f>
        <v/>
      </c>
      <c r="D52" s="17">
        <f>IF(ABS(D51-(SUM(D49:D50)))&lt;1.5,TRUE,D51-(SUM(D49:D50)))</f>
        <v/>
      </c>
    </row>
    <row r="54">
      <c r="A54" s="2" t="inlineStr">
        <is>
          <t>(4) 당기말과 전기말 현재 당사가 보험에 가입한 자산의 내역은 다음과 같습니다.</t>
        </is>
      </c>
    </row>
    <row r="55">
      <c r="B55" s="2" t="inlineStr">
        <is>
          <t>(단위: 천원)</t>
        </is>
      </c>
    </row>
    <row r="56">
      <c r="A56" s="3" t="inlineStr">
        <is>
          <t>보험종류</t>
        </is>
      </c>
      <c r="B56" s="3" t="inlineStr">
        <is>
          <t>보험가입자산</t>
        </is>
      </c>
      <c r="C56" s="3" t="inlineStr">
        <is>
          <t>부보금액</t>
        </is>
      </c>
      <c r="D56" s="3" t="inlineStr">
        <is>
          <t>부보금액</t>
        </is>
      </c>
      <c r="E56" s="3" t="inlineStr">
        <is>
          <t>부보처</t>
        </is>
      </c>
    </row>
    <row r="57">
      <c r="A57" s="3" t="inlineStr">
        <is>
          <t>보험종류</t>
        </is>
      </c>
      <c r="B57" s="3" t="inlineStr">
        <is>
          <t>보험가입자산</t>
        </is>
      </c>
      <c r="C57" s="3" t="inlineStr">
        <is>
          <t>당기말</t>
        </is>
      </c>
      <c r="D57" s="3" t="inlineStr">
        <is>
          <t>전기말</t>
        </is>
      </c>
      <c r="E57" s="3" t="inlineStr">
        <is>
          <t>부보처</t>
        </is>
      </c>
    </row>
    <row r="58">
      <c r="A58" s="5" t="inlineStr">
        <is>
          <t>화재 및 풍수재손해보험</t>
        </is>
      </c>
      <c r="B58" s="4" t="inlineStr">
        <is>
          <t>건물(동검도)</t>
        </is>
      </c>
      <c r="C58" s="7" t="n">
        <v>1256338</v>
      </c>
      <c r="D58" s="7" t="n">
        <v>1256338</v>
      </c>
      <c r="E58" s="4" t="inlineStr">
        <is>
          <t>DB손해보험(주)</t>
        </is>
      </c>
    </row>
    <row r="59">
      <c r="A59" s="5" t="inlineStr">
        <is>
          <t>재난배상책임보험</t>
        </is>
      </c>
      <c r="B59" s="4" t="inlineStr">
        <is>
          <t>건물(동검도)</t>
        </is>
      </c>
      <c r="C59" s="4" t="inlineStr">
        <is>
          <t>무한</t>
        </is>
      </c>
      <c r="D59" s="4" t="inlineStr">
        <is>
          <t>무한</t>
        </is>
      </c>
      <c r="E59" s="4" t="inlineStr">
        <is>
          <t>현대해상화재보험(주)</t>
        </is>
      </c>
    </row>
    <row r="60">
      <c r="A60" s="5" t="inlineStr">
        <is>
          <t>재난배상책임보험</t>
        </is>
      </c>
      <c r="B60" s="4" t="inlineStr">
        <is>
          <t>건물(상화원)</t>
        </is>
      </c>
      <c r="C60" s="4" t="inlineStr">
        <is>
          <t>무한</t>
        </is>
      </c>
      <c r="D60" s="4" t="inlineStr">
        <is>
          <t>무한</t>
        </is>
      </c>
      <c r="E60" s="4" t="inlineStr">
        <is>
          <t>(주)KB손해보험</t>
        </is>
      </c>
    </row>
    <row r="61">
      <c r="A61" s="5" t="inlineStr">
        <is>
          <t>화재보험</t>
        </is>
      </c>
      <c r="B61" s="4" t="inlineStr">
        <is>
          <t>건물(황도리)</t>
        </is>
      </c>
      <c r="C61" s="7" t="n">
        <v>0</v>
      </c>
      <c r="D61" s="7" t="n">
        <v>69971</v>
      </c>
      <c r="E61" s="4" t="inlineStr">
        <is>
          <t>현대해상화재보험(주)</t>
        </is>
      </c>
    </row>
    <row r="62">
      <c r="A62" s="8" t="inlineStr">
        <is>
          <t>합 계</t>
        </is>
      </c>
      <c r="B62" s="18" t="inlineStr">
        <is>
          <t>합 계</t>
        </is>
      </c>
      <c r="C62" s="9" t="n">
        <v>1256338</v>
      </c>
      <c r="D62" s="9" t="n">
        <v>1326309</v>
      </c>
      <c r="E62" s="18" t="inlineStr"/>
    </row>
    <row r="63">
      <c r="A63" s="2" t="inlineStr">
        <is>
          <t xml:space="preserve">  └ 푸팅검증: 합 계(행 62) − Σ(행)</t>
        </is>
      </c>
      <c r="C63" s="17">
        <f>IF(ABS(C62-(C58+C61))&lt;1.5,TRUE,C62-(C58+C61))</f>
        <v/>
      </c>
      <c r="D63" s="17">
        <f>IF(ABS(D62-(D58+D61))&lt;1.5,TRUE,D62-(D58+D61))</f>
        <v/>
      </c>
    </row>
    <row r="65">
      <c r="A65" s="2" t="inlineStr">
        <is>
          <t>(5) 당기말 현재 계류 중인 소송사건은 다음과 같습니다.</t>
        </is>
      </c>
    </row>
    <row r="66">
      <c r="B66" s="2" t="inlineStr">
        <is>
          <t>(단위: 천원)</t>
        </is>
      </c>
    </row>
    <row r="67">
      <c r="A67" s="3" t="inlineStr">
        <is>
          <t>구 분</t>
        </is>
      </c>
      <c r="B67" s="3" t="inlineStr">
        <is>
          <t>소송명</t>
        </is>
      </c>
      <c r="C67" s="3" t="inlineStr">
        <is>
          <t>소송금액</t>
        </is>
      </c>
      <c r="D67" s="3" t="inlineStr">
        <is>
          <t>상대방</t>
        </is>
      </c>
      <c r="E67" s="3" t="inlineStr">
        <is>
          <t>진행상황</t>
        </is>
      </c>
    </row>
    <row r="68">
      <c r="A68" s="5" t="inlineStr">
        <is>
          <t>원고</t>
        </is>
      </c>
      <c r="B68" s="4" t="inlineStr">
        <is>
          <t>채무부존재확인</t>
        </is>
      </c>
      <c r="C68" s="7" t="n">
        <v>636736</v>
      </c>
      <c r="D68" s="4" t="inlineStr">
        <is>
          <t>주식회사 가이스트코리아</t>
        </is>
      </c>
      <c r="E68" s="4" t="inlineStr">
        <is>
          <t>1심 진행 중</t>
        </is>
      </c>
    </row>
    <row r="69">
      <c r="A69" s="5" t="inlineStr">
        <is>
          <t>원고</t>
        </is>
      </c>
      <c r="B69" s="4" t="inlineStr">
        <is>
          <t>공탁금 청구권</t>
        </is>
      </c>
      <c r="C69" s="7" t="n">
        <v>317362</v>
      </c>
      <c r="D69" s="4" t="inlineStr">
        <is>
          <t>주식회사 조인트리</t>
        </is>
      </c>
      <c r="E69" s="4" t="inlineStr">
        <is>
          <t>1심 진행 중</t>
        </is>
      </c>
    </row>
    <row r="70">
      <c r="A70" s="5" t="inlineStr">
        <is>
          <t>원고</t>
        </is>
      </c>
      <c r="B70" s="4" t="inlineStr">
        <is>
          <t>용역대금 외</t>
        </is>
      </c>
      <c r="C70" s="7" t="n">
        <v>224312</v>
      </c>
      <c r="D70" s="4" t="inlineStr">
        <is>
          <t>대한민국</t>
        </is>
      </c>
      <c r="E70" s="4" t="inlineStr">
        <is>
          <t>1심 진행 중</t>
        </is>
      </c>
    </row>
    <row r="71">
      <c r="A71" s="5" t="inlineStr">
        <is>
          <t>피고</t>
        </is>
      </c>
      <c r="B71" s="4" t="inlineStr">
        <is>
          <t>공탁금 청구권</t>
        </is>
      </c>
      <c r="C71" s="7" t="n">
        <v>556594</v>
      </c>
      <c r="D71" s="4" t="inlineStr">
        <is>
          <t>신용보증기금</t>
        </is>
      </c>
      <c r="E71" s="4" t="inlineStr">
        <is>
          <t>1심 진행 중</t>
        </is>
      </c>
    </row>
    <row r="72">
      <c r="A72" s="5" t="inlineStr">
        <is>
          <t>피고</t>
        </is>
      </c>
      <c r="B72" s="4" t="inlineStr">
        <is>
          <t>손해배상</t>
        </is>
      </c>
      <c r="C72" s="7" t="n">
        <v>2000000</v>
      </c>
      <c r="D72" s="4" t="inlineStr">
        <is>
          <t>주식회사 이씨에스텔레콤</t>
        </is>
      </c>
      <c r="E72" s="4" t="inlineStr">
        <is>
          <t>2심 진행 중(당사 1심 승소 후 원고 항소)</t>
        </is>
      </c>
    </row>
    <row r="73">
      <c r="A73" s="5" t="inlineStr">
        <is>
          <t>피고(*)</t>
        </is>
      </c>
      <c r="B73" s="4" t="inlineStr">
        <is>
          <t>용역대금 외</t>
        </is>
      </c>
      <c r="C73" s="7" t="n">
        <v>489112</v>
      </c>
      <c r="D73" s="4" t="inlineStr">
        <is>
          <t>주식회사 가이스트코리아</t>
        </is>
      </c>
      <c r="E73" s="4" t="inlineStr">
        <is>
          <t>2심 진행 중(당사 1심 일부 패소 후 항소)</t>
        </is>
      </c>
    </row>
    <row r="75">
      <c r="A75" s="2" t="inlineStr">
        <is>
          <t>(*) 소송관련 공탁금 680백만원이 기타채권에 포함되어 있으며, 사용이 제한되어 있습니다.</t>
        </is>
      </c>
    </row>
    <row r="76">
      <c r="A76" s="2" t="inlineStr">
        <is>
          <t>당사는 1심 판결 결과를 반영하여 현재의무로 판단되는 금액 377,033천원을 소송충당부채로 계상하였습니다. 향후 소송의 진행 경과 및 최종 판결에 따라 손실 규모가 변동될 수 있습니다.한편, 그 외 계류 중인 소송 사건과 관련하여서는, 당기말 현재 그 결과 및 재무적 영향을 합리적으로 추정할 수 없습니다.</t>
        </is>
      </c>
    </row>
  </sheetData>
  <conditionalFormatting sqref="C41">
    <cfRule type="expression" priority="1" dxfId="0">
      <formula>ISNUMBER(C41)</formula>
    </cfRule>
  </conditionalFormatting>
  <conditionalFormatting sqref="C52">
    <cfRule type="expression" priority="2" dxfId="0">
      <formula>ISNUMBER(C52)</formula>
    </cfRule>
  </conditionalFormatting>
  <conditionalFormatting sqref="C63">
    <cfRule type="expression" priority="3" dxfId="0">
      <formula>ISNUMBER(C63)</formula>
    </cfRule>
  </conditionalFormatting>
  <conditionalFormatting sqref="D41">
    <cfRule type="expression" priority="4" dxfId="0">
      <formula>ISNUMBER(D41)</formula>
    </cfRule>
  </conditionalFormatting>
  <conditionalFormatting sqref="D52">
    <cfRule type="expression" priority="5" dxfId="0">
      <formula>ISNUMBER(D52)</formula>
    </cfRule>
  </conditionalFormatting>
  <conditionalFormatting sqref="D63">
    <cfRule type="expression" priority="6" dxfId="0">
      <formula>ISNUMBER(D63)</formula>
    </cfRule>
  </conditionalFormatting>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83"/>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34. 특수관계자거래</t>
        </is>
      </c>
      <c r="J1" s="15">
        <f>HYPERLINK("#총괄표!A1","◀ 총괄표")</f>
        <v/>
      </c>
    </row>
    <row r="3">
      <c r="A3" s="2" t="inlineStr">
        <is>
          <t>(1) 당기말과 전기말 현재 당사와 특수관계에 있는 지배기업 및 관계기업의 현황은 다음과 같습니다.</t>
        </is>
      </c>
    </row>
    <row r="4">
      <c r="A4" s="3" t="inlineStr">
        <is>
          <t>관 계</t>
        </is>
      </c>
      <c r="B4" s="3" t="inlineStr">
        <is>
          <t>당기말</t>
        </is>
      </c>
      <c r="C4" s="3" t="inlineStr">
        <is>
          <t>전기말</t>
        </is>
      </c>
    </row>
    <row r="5">
      <c r="A5" s="5" t="inlineStr">
        <is>
          <t>지배기업</t>
        </is>
      </c>
      <c r="B5" s="4" t="inlineStr">
        <is>
          <t>한국지주(주)</t>
        </is>
      </c>
      <c r="C5" s="4" t="inlineStr">
        <is>
          <t>한국지주(주)</t>
        </is>
      </c>
    </row>
    <row r="6">
      <c r="A6" s="5" t="inlineStr">
        <is>
          <t>지배기업의 종속기업 및 관계기업</t>
        </is>
      </c>
      <c r="B6" s="4" t="inlineStr">
        <is>
          <t>(주)한네트</t>
        </is>
      </c>
      <c r="C6" s="4" t="inlineStr">
        <is>
          <t>(주)한네트</t>
        </is>
      </c>
    </row>
    <row r="7">
      <c r="A7" s="5" t="inlineStr">
        <is>
          <t>지배기업의 종속기업 및 관계기업</t>
        </is>
      </c>
      <c r="B7" s="4" t="inlineStr">
        <is>
          <t>(주)케이씨티</t>
        </is>
      </c>
      <c r="C7" s="4" t="inlineStr">
        <is>
          <t>(주)케이씨티</t>
        </is>
      </c>
    </row>
    <row r="8">
      <c r="A8" s="5" t="inlineStr">
        <is>
          <t>지배기업의 종속기업 및 관계기업</t>
        </is>
      </c>
      <c r="B8" s="4" t="inlineStr">
        <is>
          <t>한국컴퓨터(주)</t>
        </is>
      </c>
      <c r="C8" s="4" t="inlineStr">
        <is>
          <t>한국컴퓨터(주)</t>
        </is>
      </c>
    </row>
    <row r="9">
      <c r="A9" s="5" t="inlineStr">
        <is>
          <t>지배기업의 종속기업 및 관계기업</t>
        </is>
      </c>
      <c r="B9" s="4" t="inlineStr">
        <is>
          <t>(주)로지시스</t>
        </is>
      </c>
      <c r="C9" s="4" t="inlineStr">
        <is>
          <t>(주)로지시스</t>
        </is>
      </c>
    </row>
    <row r="10">
      <c r="A10" s="5" t="inlineStr">
        <is>
          <t>지배기업의 종속기업 및 관계기업</t>
        </is>
      </c>
      <c r="B10" s="4" t="inlineStr">
        <is>
          <t>(주)한국문학사</t>
        </is>
      </c>
      <c r="C10" s="4" t="inlineStr">
        <is>
          <t>(주)한국문학사</t>
        </is>
      </c>
    </row>
    <row r="11">
      <c r="A11" s="5" t="inlineStr">
        <is>
          <t>지배기업의 종속기업 및 관계기업</t>
        </is>
      </c>
      <c r="B11" s="4" t="inlineStr">
        <is>
          <t>한국상역개발(주)</t>
        </is>
      </c>
      <c r="C11" s="4" t="inlineStr">
        <is>
          <t>한국상역개발(주)</t>
        </is>
      </c>
    </row>
    <row r="12">
      <c r="A12" s="5" t="inlineStr">
        <is>
          <t>지배기업의 종속기업 및 관계기업</t>
        </is>
      </c>
      <c r="B12" s="4" t="inlineStr">
        <is>
          <t>(주)상화원</t>
        </is>
      </c>
      <c r="C12" s="4" t="inlineStr">
        <is>
          <t>(주)상화원</t>
        </is>
      </c>
    </row>
    <row r="13">
      <c r="A13" s="5" t="inlineStr">
        <is>
          <t>지배기업의 종속기업 및 관계기업</t>
        </is>
      </c>
      <c r="B13" s="4" t="inlineStr">
        <is>
          <t>(주)제주상화원</t>
        </is>
      </c>
      <c r="C13" s="4" t="inlineStr">
        <is>
          <t>(주)제주상화원</t>
        </is>
      </c>
    </row>
    <row r="14">
      <c r="A14" s="5" t="inlineStr">
        <is>
          <t>지배기업의 종속기업 및 관계기업</t>
        </is>
      </c>
      <c r="B14" s="4" t="inlineStr">
        <is>
          <t>Pacom Int'l Inc.</t>
        </is>
      </c>
      <c r="C14" s="4" t="inlineStr">
        <is>
          <t>Pacom Int'l Inc.</t>
        </is>
      </c>
    </row>
    <row r="15">
      <c r="A15" s="5" t="inlineStr">
        <is>
          <t>지배기업의 종속기업 및 관계기업</t>
        </is>
      </c>
      <c r="B15" s="4" t="inlineStr">
        <is>
          <t>KCI VINA CO., LTD.</t>
        </is>
      </c>
      <c r="C15" s="4" t="inlineStr">
        <is>
          <t>KCI VINA CO., LTD.</t>
        </is>
      </c>
    </row>
    <row r="16">
      <c r="A16" s="5" t="inlineStr">
        <is>
          <t>기타특수관계자</t>
        </is>
      </c>
      <c r="B16" s="4" t="inlineStr">
        <is>
          <t>상화공익(주)(*1)</t>
        </is>
      </c>
      <c r="C16" s="4" t="inlineStr">
        <is>
          <t>상화공익(주)(*1)</t>
        </is>
      </c>
    </row>
    <row r="17">
      <c r="A17" s="5" t="inlineStr">
        <is>
          <t>기타특수관계자</t>
        </is>
      </c>
      <c r="B17" s="4" t="inlineStr">
        <is>
          <t>(주)한상개발(*2)</t>
        </is>
      </c>
      <c r="C17" s="4" t="inlineStr">
        <is>
          <t>(주)한상개발(*2)</t>
        </is>
      </c>
    </row>
    <row r="19">
      <c r="A19" s="2" t="inlineStr">
        <is>
          <t>(*1) 지배기업의 지분 12.22%를 소유하고 있습니다.(*2) 지배기업의 주요경영진이 지배하는 회사입니다.</t>
        </is>
      </c>
    </row>
    <row r="20">
      <c r="A20" s="2" t="inlineStr">
        <is>
          <t>(2) 당기와 전기 중 당사와 특수관계자에 대한 재화와 용역의 판매는 다음과 같습니다.</t>
        </is>
      </c>
    </row>
    <row r="21">
      <c r="B21" s="2" t="inlineStr">
        <is>
          <t>(단위: 천원)</t>
        </is>
      </c>
    </row>
    <row r="22">
      <c r="A22" s="3" t="inlineStr">
        <is>
          <t>구 분</t>
        </is>
      </c>
      <c r="B22" s="3" t="inlineStr">
        <is>
          <t>구 분</t>
        </is>
      </c>
      <c r="C22" s="3" t="inlineStr">
        <is>
          <t>거래내역</t>
        </is>
      </c>
      <c r="D22" s="3" t="inlineStr">
        <is>
          <t>당 기</t>
        </is>
      </c>
      <c r="E22" s="3" t="inlineStr">
        <is>
          <t>전 기</t>
        </is>
      </c>
    </row>
    <row r="23">
      <c r="A23" s="5" t="inlineStr">
        <is>
          <t>지배기업의 종속기업 및 관계기업</t>
        </is>
      </c>
      <c r="B23" s="4" t="inlineStr">
        <is>
          <t>(주)한네트</t>
        </is>
      </c>
      <c r="C23" s="4" t="inlineStr">
        <is>
          <t>상품매출 등</t>
        </is>
      </c>
      <c r="D23" s="7" t="n">
        <v>354378</v>
      </c>
      <c r="E23" s="7" t="n">
        <v>1494455</v>
      </c>
    </row>
    <row r="24">
      <c r="A24" s="5" t="inlineStr">
        <is>
          <t>지배기업의 종속기업 및 관계기업</t>
        </is>
      </c>
      <c r="B24" s="4" t="inlineStr">
        <is>
          <t>(주)로지시스</t>
        </is>
      </c>
      <c r="C24" s="4" t="inlineStr">
        <is>
          <t>용역의 제공 등</t>
        </is>
      </c>
      <c r="D24" s="7" t="n">
        <v>6502</v>
      </c>
      <c r="E24" s="7" t="n">
        <v>6292</v>
      </c>
    </row>
    <row r="25">
      <c r="A25" s="5" t="inlineStr">
        <is>
          <t>지배기업의 종속기업 및 관계기업</t>
        </is>
      </c>
      <c r="B25" s="4" t="inlineStr">
        <is>
          <t>(주)케이씨티</t>
        </is>
      </c>
      <c r="C25" s="4" t="inlineStr">
        <is>
          <t>용역의 제공 등</t>
        </is>
      </c>
      <c r="D25" s="7" t="n">
        <v>30444</v>
      </c>
      <c r="E25" s="7" t="n">
        <v>138919</v>
      </c>
    </row>
    <row r="26">
      <c r="A26" s="5" t="inlineStr">
        <is>
          <t>지배기업의 종속기업 및 관계기업</t>
        </is>
      </c>
      <c r="B26" s="4" t="inlineStr">
        <is>
          <t>(주)상화원</t>
        </is>
      </c>
      <c r="C26" s="4" t="inlineStr">
        <is>
          <t>용역의 제공</t>
        </is>
      </c>
      <c r="D26" s="7" t="n">
        <v>88963</v>
      </c>
      <c r="E26" s="7" t="n">
        <v>59844</v>
      </c>
    </row>
    <row r="27">
      <c r="A27" s="8" t="inlineStr">
        <is>
          <t>합 계</t>
        </is>
      </c>
      <c r="B27" s="18" t="inlineStr">
        <is>
          <t>합 계</t>
        </is>
      </c>
      <c r="C27" s="18" t="inlineStr">
        <is>
          <t>합 계</t>
        </is>
      </c>
      <c r="D27" s="9" t="n">
        <v>480287</v>
      </c>
      <c r="E27" s="9" t="n">
        <v>1699510</v>
      </c>
    </row>
    <row r="28">
      <c r="A28" s="2" t="inlineStr">
        <is>
          <t xml:space="preserve">  └ 푸팅검증: 합 계(행 27) − Σ(행)</t>
        </is>
      </c>
      <c r="D28" s="17">
        <f>IF(ABS(D27-(SUM(D23:D26)))&lt;1.5,TRUE,D27-(SUM(D23:D26)))</f>
        <v/>
      </c>
      <c r="E28" s="17">
        <f>IF(ABS(E27-(SUM(E23:E26)))&lt;1.5,TRUE,E27-(SUM(E23:E26)))</f>
        <v/>
      </c>
    </row>
    <row r="30">
      <c r="A30" s="2" t="inlineStr">
        <is>
          <t>(3) 당기와 전기 중 특수관계자에 대한 재화와 용역의 구입은 다음과 같습니다.</t>
        </is>
      </c>
    </row>
    <row r="31">
      <c r="B31" s="2" t="inlineStr">
        <is>
          <t>(단위: 천원)</t>
        </is>
      </c>
    </row>
    <row r="32">
      <c r="A32" s="3" t="inlineStr">
        <is>
          <t>구 분</t>
        </is>
      </c>
      <c r="B32" s="3" t="inlineStr">
        <is>
          <t>구 분</t>
        </is>
      </c>
      <c r="C32" s="3" t="inlineStr">
        <is>
          <t>거래내역</t>
        </is>
      </c>
      <c r="D32" s="3" t="inlineStr">
        <is>
          <t>당 기</t>
        </is>
      </c>
      <c r="E32" s="3" t="inlineStr">
        <is>
          <t>전 기</t>
        </is>
      </c>
    </row>
    <row r="33">
      <c r="A33" s="5" t="inlineStr">
        <is>
          <t>지배기업</t>
        </is>
      </c>
      <c r="B33" s="4" t="inlineStr">
        <is>
          <t>한국지주(주)</t>
        </is>
      </c>
      <c r="C33" s="4" t="inlineStr">
        <is>
          <t>지급수수료 외</t>
        </is>
      </c>
      <c r="D33" s="7" t="n">
        <v>2529</v>
      </c>
      <c r="E33" s="7" t="n">
        <v>2412</v>
      </c>
    </row>
    <row r="34">
      <c r="A34" s="5" t="inlineStr">
        <is>
          <t>지배기업의 종속기업 및 관계기업</t>
        </is>
      </c>
      <c r="B34" s="4" t="inlineStr">
        <is>
          <t>(주)로지시스</t>
        </is>
      </c>
      <c r="C34" s="4" t="inlineStr">
        <is>
          <t>지급임차료</t>
        </is>
      </c>
      <c r="D34" s="7" t="n">
        <v>360</v>
      </c>
      <c r="E34" s="7" t="n">
        <v>360</v>
      </c>
    </row>
    <row r="35">
      <c r="A35" s="5" t="inlineStr">
        <is>
          <t>지배기업의 종속기업 및 관계기업</t>
        </is>
      </c>
      <c r="B35" s="4" t="inlineStr">
        <is>
          <t>(주)케이씨티</t>
        </is>
      </c>
      <c r="C35" s="4" t="inlineStr">
        <is>
          <t>재고자산 외</t>
        </is>
      </c>
      <c r="D35" s="7" t="n">
        <v>20043</v>
      </c>
      <c r="E35" s="7" t="n">
        <v>1700</v>
      </c>
    </row>
    <row r="36">
      <c r="A36" s="5" t="inlineStr">
        <is>
          <t>지배기업의 종속기업 및 관계기업</t>
        </is>
      </c>
      <c r="B36" s="4" t="inlineStr">
        <is>
          <t>(주)한국문학사</t>
        </is>
      </c>
      <c r="C36" s="4" t="inlineStr">
        <is>
          <t>도서구입 등</t>
        </is>
      </c>
      <c r="D36" s="7" t="n">
        <v>6610</v>
      </c>
      <c r="E36" s="7" t="n">
        <v>6520</v>
      </c>
    </row>
    <row r="37">
      <c r="A37" s="5" t="inlineStr">
        <is>
          <t>지배기업의 종속기업 및 관계기업</t>
        </is>
      </c>
      <c r="B37" s="4" t="inlineStr">
        <is>
          <t>(주)상화원</t>
        </is>
      </c>
      <c r="C37" s="4" t="inlineStr">
        <is>
          <t>지급임차료 등</t>
        </is>
      </c>
      <c r="D37" s="7" t="n">
        <v>4892</v>
      </c>
      <c r="E37" s="7" t="n">
        <v>5000</v>
      </c>
    </row>
    <row r="38">
      <c r="A38" s="5" t="inlineStr">
        <is>
          <t>기타특수관계자</t>
        </is>
      </c>
      <c r="B38" s="4" t="inlineStr">
        <is>
          <t>(주)한상개발</t>
        </is>
      </c>
      <c r="C38" s="4" t="inlineStr">
        <is>
          <t>지급임차료 등(*)</t>
        </is>
      </c>
      <c r="D38" s="7" t="n">
        <v>126882</v>
      </c>
      <c r="E38" s="7" t="n">
        <v>124152</v>
      </c>
    </row>
    <row r="39">
      <c r="A39" s="8" t="inlineStr">
        <is>
          <t>합 계</t>
        </is>
      </c>
      <c r="B39" s="18" t="inlineStr">
        <is>
          <t>합 계</t>
        </is>
      </c>
      <c r="C39" s="18" t="inlineStr">
        <is>
          <t>합 계</t>
        </is>
      </c>
      <c r="D39" s="9" t="n">
        <v>161316</v>
      </c>
      <c r="E39" s="9" t="n">
        <v>140144</v>
      </c>
    </row>
    <row r="40">
      <c r="A40" s="2" t="inlineStr">
        <is>
          <t xml:space="preserve">  └ 푸팅검증: 합 계(행 39) − Σ(행)</t>
        </is>
      </c>
      <c r="D40" s="17">
        <f>IF(ABS(D39-(SUM(D33:D38)))&lt;1.5,TRUE,D39-(SUM(D33:D38)))</f>
        <v/>
      </c>
      <c r="E40" s="17">
        <f>IF(ABS(E39-(SUM(E33:E38)))&lt;1.5,TRUE,E39-(SUM(E33:E38)))</f>
        <v/>
      </c>
    </row>
    <row r="42">
      <c r="A42" s="2" t="inlineStr">
        <is>
          <t>(*) 특수관계자와의 리스계약에서 발생한 이자비용이 포함되어 있습니다.</t>
        </is>
      </c>
    </row>
    <row r="43">
      <c r="A43" s="2" t="inlineStr">
        <is>
          <t>(4) 당기말과 전기말 현재 특수관계자에 대한 채권ㆍ채무내역은 다음과 같습니다.</t>
        </is>
      </c>
    </row>
    <row r="44">
      <c r="B44" s="2" t="inlineStr">
        <is>
          <t>(단위: 천원)</t>
        </is>
      </c>
    </row>
    <row r="45">
      <c r="A45" s="3" t="inlineStr">
        <is>
          <t>특수관계구분</t>
        </is>
      </c>
      <c r="B45" s="3" t="inlineStr">
        <is>
          <t>회사명</t>
        </is>
      </c>
      <c r="C45" s="3" t="inlineStr">
        <is>
          <t>거래내역</t>
        </is>
      </c>
      <c r="D45" s="3" t="inlineStr">
        <is>
          <t>당기말</t>
        </is>
      </c>
      <c r="E45" s="3" t="inlineStr">
        <is>
          <t>전기말</t>
        </is>
      </c>
    </row>
    <row r="46">
      <c r="A46" s="5" t="inlineStr">
        <is>
          <t>특수관계자에 대한 채권(*)</t>
        </is>
      </c>
      <c r="B46" s="4" t="inlineStr">
        <is>
          <t>특수관계자에 대한 채권(*)</t>
        </is>
      </c>
      <c r="C46" s="4" t="inlineStr">
        <is>
          <t>특수관계자에 대한 채권(*)</t>
        </is>
      </c>
      <c r="D46" s="4" t="inlineStr">
        <is>
          <t>특수관계자에 대한 채권(*)</t>
        </is>
      </c>
      <c r="E46" s="4" t="inlineStr">
        <is>
          <t>특수관계자에 대한 채권(*)</t>
        </is>
      </c>
    </row>
    <row r="47">
      <c r="A47" s="5" t="inlineStr">
        <is>
          <t>지배기업의종속기업 및 관계기업</t>
        </is>
      </c>
      <c r="B47" s="4" t="inlineStr">
        <is>
          <t>(주)한네트</t>
        </is>
      </c>
      <c r="C47" s="4" t="inlineStr">
        <is>
          <t>용역의 제공</t>
        </is>
      </c>
      <c r="D47" s="7" t="n">
        <v>92322</v>
      </c>
      <c r="E47" s="7" t="n">
        <v>54312</v>
      </c>
    </row>
    <row r="48">
      <c r="A48" s="5" t="inlineStr">
        <is>
          <t>지배기업의종속기업 및 관계기업</t>
        </is>
      </c>
      <c r="B48" s="4" t="inlineStr">
        <is>
          <t>(주)로지시스</t>
        </is>
      </c>
      <c r="C48" s="4" t="inlineStr">
        <is>
          <t>용역의 제공 등</t>
        </is>
      </c>
      <c r="D48" s="7" t="n">
        <v>464</v>
      </c>
      <c r="E48" s="7" t="n">
        <v>464</v>
      </c>
    </row>
    <row r="49">
      <c r="A49" s="5" t="inlineStr">
        <is>
          <t>지배기업의종속기업 및 관계기업</t>
        </is>
      </c>
      <c r="B49" s="4" t="inlineStr">
        <is>
          <t>(주)케이씨티</t>
        </is>
      </c>
      <c r="C49" s="4" t="inlineStr">
        <is>
          <t>용역의 제공 등</t>
        </is>
      </c>
      <c r="D49" s="7" t="n">
        <v>0</v>
      </c>
      <c r="E49" s="7" t="n">
        <v>15840</v>
      </c>
    </row>
    <row r="50">
      <c r="A50" s="5" t="inlineStr">
        <is>
          <t>기타특수관계자</t>
        </is>
      </c>
      <c r="B50" s="4" t="inlineStr">
        <is>
          <t>(주)한상개발</t>
        </is>
      </c>
      <c r="C50" s="4" t="inlineStr">
        <is>
          <t>임차보증금</t>
        </is>
      </c>
      <c r="D50" s="7" t="n">
        <v>585216</v>
      </c>
      <c r="E50" s="7" t="n">
        <v>585216</v>
      </c>
    </row>
    <row r="51">
      <c r="A51" s="8" t="inlineStr">
        <is>
          <t>합 계</t>
        </is>
      </c>
      <c r="B51" s="18" t="inlineStr">
        <is>
          <t>합 계</t>
        </is>
      </c>
      <c r="C51" s="18" t="inlineStr">
        <is>
          <t>합 계</t>
        </is>
      </c>
      <c r="D51" s="9" t="n">
        <v>678002</v>
      </c>
      <c r="E51" s="9" t="n">
        <v>655832</v>
      </c>
    </row>
    <row r="52">
      <c r="A52" s="5" t="inlineStr">
        <is>
          <t>특수관계자에 대한 채무</t>
        </is>
      </c>
      <c r="B52" s="4" t="inlineStr">
        <is>
          <t>특수관계자에 대한 채무</t>
        </is>
      </c>
      <c r="C52" s="4" t="inlineStr">
        <is>
          <t>특수관계자에 대한 채무</t>
        </is>
      </c>
      <c r="D52" s="4" t="inlineStr">
        <is>
          <t>특수관계자에 대한 채무</t>
        </is>
      </c>
      <c r="E52" s="4" t="inlineStr">
        <is>
          <t>특수관계자에 대한 채무</t>
        </is>
      </c>
    </row>
    <row r="53">
      <c r="A53" s="5" t="inlineStr">
        <is>
          <t>지배기업</t>
        </is>
      </c>
      <c r="B53" s="4" t="inlineStr">
        <is>
          <t>한국지주(주)</t>
        </is>
      </c>
      <c r="C53" s="4" t="inlineStr">
        <is>
          <t>도서구입비</t>
        </is>
      </c>
      <c r="D53" s="7" t="n">
        <v>1396</v>
      </c>
      <c r="E53" s="7" t="n">
        <v>0</v>
      </c>
    </row>
    <row r="54">
      <c r="A54" s="5" t="inlineStr">
        <is>
          <t>기타특수관계자</t>
        </is>
      </c>
      <c r="B54" s="4" t="inlineStr">
        <is>
          <t>(주)한상개발</t>
        </is>
      </c>
      <c r="C54" s="4" t="inlineStr">
        <is>
          <t>리스부채 등</t>
        </is>
      </c>
      <c r="D54" s="7" t="n">
        <v>111824</v>
      </c>
      <c r="E54" s="7" t="n">
        <v>274391</v>
      </c>
    </row>
    <row r="55">
      <c r="A55" s="8" t="inlineStr">
        <is>
          <t>합 계</t>
        </is>
      </c>
      <c r="B55" s="18" t="inlineStr">
        <is>
          <t>합 계</t>
        </is>
      </c>
      <c r="C55" s="18" t="inlineStr">
        <is>
          <t>합 계</t>
        </is>
      </c>
      <c r="D55" s="9" t="n">
        <v>113220</v>
      </c>
      <c r="E55" s="9" t="n">
        <v>274391</v>
      </c>
    </row>
    <row r="56">
      <c r="A56" s="2" t="inlineStr">
        <is>
          <t xml:space="preserve">  └ 푸팅검증: 합 계(행 51) − Σ(행)</t>
        </is>
      </c>
      <c r="D56" s="17">
        <f>IF(ABS(D51-(SUM(D47:D50)))&lt;1.5,TRUE,D51-(SUM(D47:D50)))</f>
        <v/>
      </c>
      <c r="E56" s="17">
        <f>IF(ABS(E51-(SUM(E47:E50)))&lt;1.5,TRUE,E51-(SUM(E47:E50)))</f>
        <v/>
      </c>
    </row>
    <row r="57">
      <c r="A57" s="2" t="inlineStr">
        <is>
          <t xml:space="preserve">  └ 푸팅검증: 합 계(행 55) − Σ(행)</t>
        </is>
      </c>
      <c r="D57" s="17">
        <f>IF(ABS(D55-(SUM(D53:D54)))&lt;1.5,TRUE,D55-(SUM(D53:D54)))</f>
        <v/>
      </c>
      <c r="E57" s="17">
        <f>IF(ABS(E55-(SUM(E53:E54)))&lt;1.5,TRUE,E55-(SUM(E53:E54)))</f>
        <v/>
      </c>
    </row>
    <row r="59">
      <c r="A59" s="2" t="inlineStr">
        <is>
          <t>(*) 당기말 현재 특수관계자에 대한 채권에 설정된 손실충당금은 없습니다.</t>
        </is>
      </c>
    </row>
    <row r="60">
      <c r="A60" s="2" t="inlineStr">
        <is>
          <t>(5) 당기와 전기 중 특수관계자와 발생한 자금거래는 다음과 같습니다.&lt;당기&gt;</t>
        </is>
      </c>
    </row>
    <row r="61">
      <c r="B61" s="2" t="inlineStr">
        <is>
          <t>(단위: 천원)</t>
        </is>
      </c>
    </row>
    <row r="62">
      <c r="A62" s="3" t="inlineStr">
        <is>
          <t>특수관계 구분</t>
        </is>
      </c>
      <c r="B62" s="3" t="inlineStr">
        <is>
          <t>회사명</t>
        </is>
      </c>
      <c r="C62" s="3" t="inlineStr">
        <is>
          <t>상 환</t>
        </is>
      </c>
      <c r="D62" s="3" t="inlineStr">
        <is>
          <t>배당지급</t>
        </is>
      </c>
    </row>
    <row r="63">
      <c r="A63" s="5" t="inlineStr">
        <is>
          <t>지배기업</t>
        </is>
      </c>
      <c r="B63" s="4" t="inlineStr">
        <is>
          <t>한국지주(주)</t>
        </is>
      </c>
      <c r="C63" s="7" t="n">
        <v>0</v>
      </c>
      <c r="D63" s="7" t="n">
        <v>1440000</v>
      </c>
    </row>
    <row r="64">
      <c r="A64" s="5" t="inlineStr">
        <is>
          <t>기타특수관계자</t>
        </is>
      </c>
      <c r="B64" s="4" t="inlineStr">
        <is>
          <t>(주)한상개발(*)</t>
        </is>
      </c>
      <c r="C64" s="7" t="n">
        <v>162567</v>
      </c>
      <c r="D64" s="7" t="n">
        <v>0</v>
      </c>
    </row>
    <row r="66">
      <c r="A66" s="2" t="inlineStr">
        <is>
          <t>&lt;전기&gt;</t>
        </is>
      </c>
    </row>
    <row r="67">
      <c r="B67" s="2" t="inlineStr">
        <is>
          <t>(단위: 천원)</t>
        </is>
      </c>
    </row>
    <row r="68">
      <c r="A68" s="3" t="inlineStr">
        <is>
          <t>특수관계 구분</t>
        </is>
      </c>
      <c r="B68" s="3" t="inlineStr">
        <is>
          <t>회사명</t>
        </is>
      </c>
      <c r="C68" s="3" t="inlineStr">
        <is>
          <t>상 환</t>
        </is>
      </c>
      <c r="D68" s="3" t="inlineStr">
        <is>
          <t>배당지급</t>
        </is>
      </c>
    </row>
    <row r="69">
      <c r="A69" s="5" t="inlineStr">
        <is>
          <t>지배기업</t>
        </is>
      </c>
      <c r="B69" s="4" t="inlineStr">
        <is>
          <t>한국지주(주)</t>
        </is>
      </c>
      <c r="C69" s="7" t="n">
        <v>0</v>
      </c>
      <c r="D69" s="7" t="n">
        <v>1440000</v>
      </c>
    </row>
    <row r="70">
      <c r="A70" s="5" t="inlineStr">
        <is>
          <t>기타특수관계자</t>
        </is>
      </c>
      <c r="B70" s="4" t="inlineStr">
        <is>
          <t>(주)한상개발(*)</t>
        </is>
      </c>
      <c r="C70" s="7" t="n">
        <v>164240</v>
      </c>
      <c r="D70" s="7" t="n">
        <v>0</v>
      </c>
    </row>
    <row r="72">
      <c r="A72" s="2" t="inlineStr">
        <is>
          <t>(*) (주)한상개발과 체결한 사무실 리스계약에 따라 인식한 사용권자산은 109,078천원이며, 리스부채는 111,824천원입니다. 당기 중 리스부채의 상환금액은 162,567천원(전기: 164,240천원)이며, 당기 중 발생한 이자비용은 7,546천원(전기: 5,873천원)입니다.</t>
        </is>
      </c>
    </row>
    <row r="73">
      <c r="A73" s="2" t="inlineStr">
        <is>
          <t>(6) 당기와 전기 중 주요 경영진에 대한 보상의 내용은 다음과 같습니다.</t>
        </is>
      </c>
    </row>
    <row r="74">
      <c r="B74" s="2" t="inlineStr">
        <is>
          <t>(단위: 천원)</t>
        </is>
      </c>
    </row>
    <row r="75">
      <c r="A75" s="3" t="inlineStr">
        <is>
          <t>구 분</t>
        </is>
      </c>
      <c r="B75" s="3" t="inlineStr">
        <is>
          <t>당 기</t>
        </is>
      </c>
      <c r="C75" s="3" t="inlineStr">
        <is>
          <t>전 기</t>
        </is>
      </c>
    </row>
    <row r="76">
      <c r="A76" s="5" t="inlineStr">
        <is>
          <t>단기급여</t>
        </is>
      </c>
      <c r="B76" s="7" t="n">
        <v>205030</v>
      </c>
      <c r="C76" s="7" t="n">
        <v>194084</v>
      </c>
    </row>
    <row r="77">
      <c r="A77" s="5" t="inlineStr">
        <is>
          <t>퇴직급여</t>
        </is>
      </c>
      <c r="B77" s="7" t="n">
        <v>30167</v>
      </c>
      <c r="C77" s="7" t="n">
        <v>26785</v>
      </c>
    </row>
    <row r="78">
      <c r="A78" s="5" t="inlineStr">
        <is>
          <t>장기종업원급여</t>
        </is>
      </c>
      <c r="B78" s="7" t="n">
        <v>1188</v>
      </c>
      <c r="C78" s="7" t="n">
        <v>711</v>
      </c>
    </row>
    <row r="79">
      <c r="A79" s="5" t="inlineStr">
        <is>
          <t>주식보상비용</t>
        </is>
      </c>
      <c r="B79" s="7" t="n">
        <v>32380</v>
      </c>
      <c r="C79" s="7" t="n">
        <v>24928</v>
      </c>
    </row>
    <row r="80">
      <c r="A80" s="8" t="inlineStr">
        <is>
          <t>합 계</t>
        </is>
      </c>
      <c r="B80" s="9" t="n">
        <v>268765</v>
      </c>
      <c r="C80" s="9" t="n">
        <v>246508</v>
      </c>
    </row>
    <row r="81">
      <c r="A81" s="2" t="inlineStr">
        <is>
          <t xml:space="preserve">  └ 푸팅검증: 합 계(행 80) − Σ(행)</t>
        </is>
      </c>
      <c r="B81" s="17">
        <f>IF(ABS(B80-(SUM(B76:B79)))&lt;1.5,TRUE,B80-(SUM(B76:B79)))</f>
        <v/>
      </c>
      <c r="C81" s="17">
        <f>IF(ABS(C80-(SUM(C76:C79)))&lt;1.5,TRUE,C80-(SUM(C76:C79)))</f>
        <v/>
      </c>
    </row>
    <row r="83">
      <c r="A83" s="2" t="inlineStr">
        <is>
          <t>당사의 주요 경영진(등기임원)에 대한 보상은 급여, 비화폐성 급여 및 퇴직급여제도에 대한 기여금을 포함하고 있습니다.</t>
        </is>
      </c>
    </row>
  </sheetData>
  <conditionalFormatting sqref="B81">
    <cfRule type="expression" priority="1" dxfId="0">
      <formula>ISNUMBER(B81)</formula>
    </cfRule>
  </conditionalFormatting>
  <conditionalFormatting sqref="C81">
    <cfRule type="expression" priority="2" dxfId="0">
      <formula>ISNUMBER(C81)</formula>
    </cfRule>
  </conditionalFormatting>
  <conditionalFormatting sqref="D28">
    <cfRule type="expression" priority="3" dxfId="0">
      <formula>ISNUMBER(D28)</formula>
    </cfRule>
  </conditionalFormatting>
  <conditionalFormatting sqref="D40">
    <cfRule type="expression" priority="4" dxfId="0">
      <formula>ISNUMBER(D40)</formula>
    </cfRule>
  </conditionalFormatting>
  <conditionalFormatting sqref="D56:D57">
    <cfRule type="expression" priority="5" dxfId="0">
      <formula>ISNUMBER(D56)</formula>
    </cfRule>
  </conditionalFormatting>
  <conditionalFormatting sqref="E28">
    <cfRule type="expression" priority="6" dxfId="0">
      <formula>ISNUMBER(E28)</formula>
    </cfRule>
  </conditionalFormatting>
  <conditionalFormatting sqref="E40">
    <cfRule type="expression" priority="7" dxfId="0">
      <formula>ISNUMBER(E40)</formula>
    </cfRule>
  </conditionalFormatting>
  <conditionalFormatting sqref="E56:E57">
    <cfRule type="expression" priority="8" dxfId="0">
      <formula>ISNUMBER(E56)</formula>
    </cfRule>
  </conditionalFormatting>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0"/>
  <sheetViews>
    <sheetView showGridLines="0" workbookViewId="0">
      <pane ySplit="3" topLeftCell="A4" activePane="bottomLeft" state="frozen"/>
      <selection pane="bottomLeft" activeCell="A1" sqref="A1"/>
    </sheetView>
  </sheetViews>
  <sheetFormatPr baseColWidth="8" defaultRowHeight="15"/>
  <cols>
    <col width="8" customWidth="1" min="1" max="1"/>
    <col width="5" customWidth="1" min="2" max="2"/>
    <col width="11" customWidth="1" min="3" max="3"/>
    <col width="24" customWidth="1" min="4" max="4"/>
    <col width="58" customWidth="1" min="5" max="5"/>
    <col width="62" customWidth="1" min="6" max="6"/>
    <col width="60" customWidth="1" min="7" max="7"/>
  </cols>
  <sheetData>
    <row r="1">
      <c r="A1" s="19" t="inlineStr">
        <is>
          <t>지적사항 — 중요도 순 (S: 발행 전 필수 / A: 내용 보강·확인 / B: 표 형식·레이아웃 / C: 문구·오타)</t>
        </is>
      </c>
    </row>
    <row r="3">
      <c r="A3" s="20" t="inlineStr">
        <is>
          <t>중요도</t>
        </is>
      </c>
      <c r="B3" s="20" t="inlineStr">
        <is>
          <t>No</t>
        </is>
      </c>
      <c r="C3" s="20" t="inlineStr">
        <is>
          <t>유형</t>
        </is>
      </c>
      <c r="D3" s="20" t="inlineStr">
        <is>
          <t>위치</t>
        </is>
      </c>
      <c r="E3" s="20" t="inlineStr">
        <is>
          <t>지적 내용</t>
        </is>
      </c>
      <c r="F3" s="20" t="inlineStr">
        <is>
          <t>근거 · 계산</t>
        </is>
      </c>
      <c r="G3" s="20" t="inlineStr">
        <is>
          <t>수정안</t>
        </is>
      </c>
    </row>
    <row r="4" ht="32" customHeight="1">
      <c r="A4" s="21" t="inlineStr">
        <is>
          <t>C</t>
        </is>
      </c>
      <c r="B4" s="4" t="n">
        <v>1</v>
      </c>
      <c r="C4" s="4" t="inlineStr">
        <is>
          <t>오타</t>
        </is>
      </c>
      <c r="D4" s="22" t="inlineStr">
        <is>
          <t>재무상태표 비유동부채 (BS 행27)</t>
        </is>
      </c>
      <c r="E4" s="22" t="inlineStr">
        <is>
          <t>계정명 '기타장기종업웝급여부채'는 '기타장기종업원급여부채'의 오타다.</t>
        </is>
      </c>
      <c r="F4" s="22" t="inlineStr">
        <is>
          <t>주석 18 표10은 '장기종업원급여부채', 주석 32 표1은 '장기종업원급여부채의 감소'로 적혀 있다. 재무상태표 본문만 '종업웝'.</t>
        </is>
      </c>
      <c r="G4" s="22" t="inlineStr">
        <is>
          <t>'기타장기종업원급여부채'로 정정.</t>
        </is>
      </c>
    </row>
    <row r="5" ht="32" customHeight="1">
      <c r="A5" s="21" t="inlineStr">
        <is>
          <t>C</t>
        </is>
      </c>
      <c r="B5" s="4" t="n">
        <v>2</v>
      </c>
      <c r="C5" s="4" t="inlineStr">
        <is>
          <t>띄어쓰기</t>
        </is>
      </c>
      <c r="D5" s="22" t="inlineStr">
        <is>
          <t>독립된 감사인의 감사보고서 — 감사의견 첫 문단</t>
        </is>
      </c>
      <c r="E5" s="22" t="inlineStr">
        <is>
          <t>'동일로 종료되는양 보고기간의'에서 '종료되는 양'의 띄어쓰기가 빠졌다.</t>
        </is>
      </c>
      <c r="F5" s="22" t="inlineStr">
        <is>
          <t>본문: '…현재의 재무상태표, 동일로 종료되는양 보고기간의 포괄손익계산서…'. 의존명사 '양'은 띄어 쓴다.</t>
        </is>
      </c>
      <c r="G5" s="22" t="inlineStr">
        <is>
          <t>'동일로 종료되는 양 보고기간의'로 정정.</t>
        </is>
      </c>
    </row>
    <row r="6" ht="33.71214392803599" customHeight="1">
      <c r="A6" s="21" t="inlineStr">
        <is>
          <t>C</t>
        </is>
      </c>
      <c r="B6" s="4" t="n">
        <v>3</v>
      </c>
      <c r="C6" s="4" t="inlineStr">
        <is>
          <t>용어혼용</t>
        </is>
      </c>
      <c r="D6" s="22" t="inlineStr">
        <is>
          <t>BS 행7·10·11, PL 행15, CE 행5·17·19 / 주석 6 표1·2 헤더, 주석 5</t>
        </is>
      </c>
      <c r="E6" s="22" t="inlineStr">
        <is>
          <t>'공정가치 측정 금융자산'(재무제표 본문)과 '공정가치측정 금융자산'(주석 표 헤더)의 띄어쓰기가 갈린다. 자본변동표 안에서도 '측정 지분상품'과 '측정지분상품'이 섞여 있다.</t>
        </is>
      </c>
      <c r="F6" s="22" t="inlineStr">
        <is>
          <t>format_audit term 항목: 공정가치 측정 / 공정가치측정, 측정 지분상품 / 측정지분상품, 공정가치 측정치 / 공정가치측정치(주5).</t>
        </is>
      </c>
      <c r="G6" s="22" t="inlineStr">
        <is>
          <t>기준서 표기인 '공정가치 측정 금융자산'으로 통일.</t>
        </is>
      </c>
    </row>
    <row r="7" ht="32" customHeight="1">
      <c r="A7" s="21" t="inlineStr">
        <is>
          <t>C</t>
        </is>
      </c>
      <c r="B7" s="4" t="n">
        <v>4</v>
      </c>
      <c r="C7" s="4" t="inlineStr">
        <is>
          <t>용어혼용</t>
        </is>
      </c>
      <c r="D7" s="22" t="inlineStr">
        <is>
          <t>자본변동표 행9·21 / 현금흐름표 행20</t>
        </is>
      </c>
      <c r="E7" s="22" t="inlineStr">
        <is>
          <t>'배당금 지급'(자본변동표)과 '배당금지급'(현금흐름표) 표기가 다르다.</t>
        </is>
      </c>
      <c r="F7" s="22" t="inlineStr">
        <is>
          <t>CE[9,0], CE[21,0] = 배당금 지급 / CF[20,0] = 배당금지급.</t>
        </is>
      </c>
      <c r="G7" s="22" t="inlineStr">
        <is>
          <t>한쪽으로 통일 (현금흐름표 다른 항목이 '차입금의 상환'처럼 띄어 쓰므로 '배당금 지급' 권장).</t>
        </is>
      </c>
    </row>
    <row r="8" ht="32" customHeight="1">
      <c r="A8" s="21" t="inlineStr">
        <is>
          <t>C</t>
        </is>
      </c>
      <c r="B8" s="4" t="n">
        <v>5</v>
      </c>
      <c r="C8" s="4" t="inlineStr">
        <is>
          <t>용어혼용</t>
        </is>
      </c>
      <c r="D8" s="22" t="inlineStr">
        <is>
          <t>PL 행16 / 주석 12 표3 / 주석 19 표2</t>
        </is>
      </c>
      <c r="E8" s="22" t="inlineStr">
        <is>
          <t>'법인세효과'(손익계산서)와 '법인세 효과'(주석)의 띄어쓰기가 갈린다.</t>
        </is>
      </c>
      <c r="F8" s="22" t="inlineStr">
        <is>
          <t>PL[16,0] 법인세효과 / 주12 표3 행 '법인세 효과', 주19 표3 행 '법인세 효과:'.</t>
        </is>
      </c>
      <c r="G8" s="22" t="inlineStr">
        <is>
          <t>'법인세효과'로 통일.</t>
        </is>
      </c>
    </row>
    <row r="9" ht="32" customHeight="1">
      <c r="A9" s="21" t="inlineStr">
        <is>
          <t>C</t>
        </is>
      </c>
      <c r="B9" s="4" t="n">
        <v>6</v>
      </c>
      <c r="C9" s="4" t="inlineStr">
        <is>
          <t>용어혼용</t>
        </is>
      </c>
      <c r="D9" s="22" t="inlineStr">
        <is>
          <t>주석 14 표5 행1 / 주석 32 표1 행7</t>
        </is>
      </c>
      <c r="E9" s="22" t="inlineStr">
        <is>
          <t>'사용권자산 감가상각비'(주석 14)와 '사용권자산감가상각비'(주석 32)가 섞여 있다.</t>
        </is>
      </c>
      <c r="F9" s="22" t="inlineStr">
        <is>
          <t>주14/표5[0,0] / 주32/표1[6,0].</t>
        </is>
      </c>
      <c r="G9" s="22" t="inlineStr">
        <is>
          <t>'사용권자산 감가상각비'로 통일.</t>
        </is>
      </c>
    </row>
    <row r="10" ht="63.96072931276297" customHeight="1">
      <c r="A10" s="21" t="inlineStr">
        <is>
          <t>C</t>
        </is>
      </c>
      <c r="B10" s="4" t="n">
        <v>7</v>
      </c>
      <c r="C10" s="4" t="inlineStr">
        <is>
          <t>용어혼용</t>
        </is>
      </c>
      <c r="D10" s="22" t="inlineStr">
        <is>
          <t>주석 본문 전반 (주2·3·4·7·12·13·14·17·18·19·24·31·34)</t>
        </is>
      </c>
      <c r="E10" s="22" t="inlineStr">
        <is>
          <t>주석 설명 문장에서 같은 말의 띄어쓰기가 여러 곳에서 갈린다.</t>
        </is>
      </c>
      <c r="F10" s="22" t="inlineStr">
        <is>
          <t>변동 내역 / 변동내역 (주12·13·14·17), 보고기간 종료일 / 보고기간종료일 (주4·7·19), 일시적 차이 / 일시적차이 (주3·19), 매출채권 및 기타채권 / 매출채권및기타채권 (주4·6), 지배기업의 종속기업 / 지배기업의종속기업 (주34), 주당 배당금 / 주당배당금 (주24 표2·주31 표1), 재무상태표 상 / 재무상태표상 (주2·4·18), 당기 법인세 / 당기법인세 (주2·19).</t>
        </is>
      </c>
      <c r="G10" s="22" t="inlineStr">
        <is>
          <t>표기 기준을 하나 정해 전체 치환. 전기 보고서를 그대로 이어받은 표현이면 그 사실을 적고 다음 기에 정리.</t>
        </is>
      </c>
    </row>
  </sheetData>
  <autoFilter ref="A3:G10"/>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8"/>
  <sheetViews>
    <sheetView showGridLines="0" workbookViewId="0">
      <selection activeCell="A1" sqref="A1"/>
    </sheetView>
  </sheetViews>
  <sheetFormatPr baseColWidth="8" defaultRowHeight="15"/>
  <cols>
    <col width="5" customWidth="1" min="1" max="1"/>
    <col width="12" customWidth="1" min="2" max="2"/>
    <col width="60" customWidth="1" min="3" max="3"/>
    <col width="13" customWidth="1" min="4" max="4"/>
    <col width="6" customWidth="1" min="5" max="5"/>
    <col width="46" customWidth="1" min="6" max="6"/>
    <col width="14" customWidth="1" min="7" max="7"/>
    <col width="12" customWidth="1" min="8" max="8"/>
  </cols>
  <sheetData>
    <row r="1">
      <c r="A1" s="14" t="inlineStr">
        <is>
          <t>서술 검산 — 본문 문장의 수치를 표 값으로 재계산</t>
        </is>
      </c>
      <c r="H1" s="15">
        <f>HYPERLINK("#총괄표!A1","◀ 총괄표")</f>
        <v/>
      </c>
    </row>
    <row r="3">
      <c r="A3" s="3" t="inlineStr">
        <is>
          <t>No</t>
        </is>
      </c>
      <c r="B3" s="3" t="inlineStr">
        <is>
          <t>위치</t>
        </is>
      </c>
      <c r="C3" s="3" t="inlineStr">
        <is>
          <t>문장</t>
        </is>
      </c>
      <c r="D3" s="3" t="inlineStr">
        <is>
          <t>기재값</t>
        </is>
      </c>
      <c r="E3" s="3" t="inlineStr">
        <is>
          <t>단위</t>
        </is>
      </c>
      <c r="F3" s="3" t="inlineStr">
        <is>
          <t>재계산식</t>
        </is>
      </c>
      <c r="G3" s="3" t="inlineStr">
        <is>
          <t>재계산값</t>
        </is>
      </c>
      <c r="H3" s="3" t="inlineStr">
        <is>
          <t>차이</t>
        </is>
      </c>
    </row>
    <row r="4">
      <c r="A4" s="4" t="n">
        <v>1</v>
      </c>
      <c r="B4" s="5" t="inlineStr">
        <is>
          <t>주석 30</t>
        </is>
      </c>
      <c r="C4" s="5" t="inlineStr">
        <is>
          <t>기본주당이익 211원 = 보통주순이익 ÷ 가중평균유통보통주식수</t>
        </is>
      </c>
      <c r="D4" s="7" t="n">
        <v>211</v>
      </c>
      <c r="E4" s="4" t="inlineStr">
        <is>
          <t>원</t>
        </is>
      </c>
      <c r="F4" s="5" t="inlineStr">
        <is>
          <t>'30'!B6/'30'!B7</t>
        </is>
      </c>
      <c r="G4" s="23">
        <f>'30'!B6/'30'!B7</f>
        <v/>
      </c>
      <c r="H4" s="17">
        <f>IF(ABS(G4-D4)&lt;0.5,TRUE,G4-D4)</f>
        <v/>
      </c>
    </row>
    <row r="5">
      <c r="A5" s="4" t="n">
        <v>2</v>
      </c>
      <c r="B5" s="5" t="inlineStr">
        <is>
          <t>주석 31</t>
        </is>
      </c>
      <c r="C5" s="5" t="inlineStr">
        <is>
          <t>배당성향 85.46% = 배당금 ÷ 당기순이익</t>
        </is>
      </c>
      <c r="D5" s="24" t="n">
        <v>85.45999999999999</v>
      </c>
      <c r="E5" s="4" t="inlineStr">
        <is>
          <t>%</t>
        </is>
      </c>
      <c r="F5" s="5" t="inlineStr">
        <is>
          <t>'31'!B14/'31'!B15*100</t>
        </is>
      </c>
      <c r="G5" s="25">
        <f>'31'!B14/'31'!B15*100</f>
        <v/>
      </c>
      <c r="H5" s="17">
        <f>IF(ABS(G5-D5)&lt;0.005,TRUE,G5-D5)</f>
        <v/>
      </c>
    </row>
    <row r="6">
      <c r="A6" s="4" t="n">
        <v>3</v>
      </c>
      <c r="B6" s="5" t="inlineStr">
        <is>
          <t>주석 4</t>
        </is>
      </c>
      <c r="C6" s="5" t="inlineStr">
        <is>
          <t>부채비율 40.8% = 부채(A) ÷ 자본(B)</t>
        </is>
      </c>
      <c r="D6" s="24" t="n">
        <v>40.8</v>
      </c>
      <c r="E6" s="4" t="inlineStr">
        <is>
          <t>%</t>
        </is>
      </c>
      <c r="F6" s="5" t="inlineStr">
        <is>
          <t>'4'!B102/'4'!B103*100</t>
        </is>
      </c>
      <c r="G6" s="25">
        <f>'4'!B102/'4'!B103*100</f>
        <v/>
      </c>
      <c r="H6" s="17">
        <f>IF(ABS(G6-D6)&lt;0.05,TRUE,G6-D6)</f>
        <v/>
      </c>
    </row>
    <row r="7">
      <c r="A7" s="4" t="n">
        <v>4</v>
      </c>
      <c r="B7" s="5" t="inlineStr">
        <is>
          <t>주석 19</t>
        </is>
      </c>
      <c r="C7" s="5" t="inlineStr">
        <is>
          <t>유효세율 8.51% = 법인세비용 ÷ 법인세비용차감전순이익</t>
        </is>
      </c>
      <c r="D7" s="24" t="n">
        <v>8.51</v>
      </c>
      <c r="E7" s="4" t="inlineStr">
        <is>
          <t>%</t>
        </is>
      </c>
      <c r="F7" s="5" t="inlineStr">
        <is>
          <t>'19'!B31/'19'!B23*100</t>
        </is>
      </c>
      <c r="G7" s="25">
        <f>'19'!B31/'19'!B23*100</f>
        <v/>
      </c>
      <c r="H7" s="17">
        <f>IF(ABS(G7-D7)&lt;0.005,TRUE,G7-D7)</f>
        <v/>
      </c>
    </row>
    <row r="8">
      <c r="A8" s="4" t="n">
        <v>5</v>
      </c>
      <c r="B8" s="5" t="inlineStr">
        <is>
          <t>주석 19</t>
        </is>
      </c>
      <c r="C8" s="5" t="inlineStr">
        <is>
          <t>법인세비용 235,114천원 = 법정세율 법인세 + 조정 항목</t>
        </is>
      </c>
      <c r="D8" s="7" t="n">
        <v>235114</v>
      </c>
      <c r="E8" s="4" t="inlineStr">
        <is>
          <t>천원</t>
        </is>
      </c>
      <c r="F8" s="5" t="inlineStr">
        <is>
          <t>'19'!B24+'19'!B26+'19'!B27+'19'!B28+'19'!B29+'19'!B30</t>
        </is>
      </c>
      <c r="G8" s="23">
        <f>'19'!B24+'19'!B26+'19'!B27+'19'!B28+'19'!B29+'19'!B30</f>
        <v/>
      </c>
      <c r="H8" s="17">
        <f>IF(ABS(G8-D8)&lt;0.5,TRUE,G8-D8)</f>
        <v/>
      </c>
    </row>
  </sheetData>
  <conditionalFormatting sqref="H4:H8">
    <cfRule type="expression" priority="1" dxfId="0">
      <formula>ISNUMBER(H4)</formula>
    </cfRule>
  </conditionalFormatting>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1"/>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18" customWidth="1" min="3" max="3"/>
    <col width="46" customWidth="1" min="4" max="4"/>
    <col width="18" customWidth="1" min="5" max="5"/>
    <col width="14" customWidth="1" min="6" max="6"/>
    <col width="58" customWidth="1" min="7" max="7"/>
  </cols>
  <sheetData>
    <row r="1">
      <c r="A1" s="19" t="inlineStr">
        <is>
          <t>숫자 대사 명세 — 보고서 기재액 ↔ 조서·원장</t>
        </is>
      </c>
    </row>
    <row r="3">
      <c r="A3" s="20" t="inlineStr">
        <is>
          <t>No</t>
        </is>
      </c>
      <c r="B3" s="20" t="inlineStr">
        <is>
          <t>항목</t>
        </is>
      </c>
      <c r="C3" s="20" t="inlineStr">
        <is>
          <t>보고서 기재</t>
        </is>
      </c>
      <c r="D3" s="20" t="inlineStr">
        <is>
          <t>대사 원천</t>
        </is>
      </c>
      <c r="E3" s="20" t="inlineStr">
        <is>
          <t>원천 금액</t>
        </is>
      </c>
      <c r="F3" s="20" t="inlineStr">
        <is>
          <t>차이</t>
        </is>
      </c>
      <c r="G3" s="20" t="inlineStr">
        <is>
          <t>대사 근거</t>
        </is>
      </c>
    </row>
    <row r="4" ht="26" customHeight="1">
      <c r="A4" s="26" t="n">
        <v>1</v>
      </c>
      <c r="B4" s="22" t="inlineStr">
        <is>
          <t>현금및현금성자산 — 주8 합계 vs BS</t>
        </is>
      </c>
      <c r="C4" s="27" t="n">
        <v>4026180</v>
      </c>
      <c r="D4" s="22" t="inlineStr">
        <is>
          <t>BS 현금및현금성자산 (원)</t>
        </is>
      </c>
      <c r="E4" s="27" t="n">
        <v>4026179709</v>
      </c>
      <c r="F4" s="28" t="n">
        <v>0</v>
      </c>
      <c r="G4" s="22" t="inlineStr">
        <is>
          <t>천원 반올림 차이 291원, 허용 ±5,000원</t>
        </is>
      </c>
    </row>
    <row r="5" ht="26" customHeight="1">
      <c r="A5" s="26" t="n">
        <v>2</v>
      </c>
      <c r="B5" s="22" t="inlineStr">
        <is>
          <t>매입채무 — 주16 vs BS</t>
        </is>
      </c>
      <c r="C5" s="27" t="n">
        <v>4092019</v>
      </c>
      <c r="D5" s="22" t="inlineStr">
        <is>
          <t>BS 매입채무</t>
        </is>
      </c>
      <c r="E5" s="27" t="n">
        <v>4092019000</v>
      </c>
      <c r="F5" s="28" t="n">
        <v>0</v>
      </c>
      <c r="G5" s="22" t="inlineStr">
        <is>
          <t>주16/표1 행0 4,092,019천원</t>
        </is>
      </c>
    </row>
    <row r="6" ht="26" customHeight="1">
      <c r="A6" s="26" t="n">
        <v>3</v>
      </c>
      <c r="B6" s="22" t="inlineStr">
        <is>
          <t>판매비와관리비 — 주27 합계 vs PL</t>
        </is>
      </c>
      <c r="C6" s="27" t="n">
        <v>3125550</v>
      </c>
      <c r="D6" s="22" t="inlineStr">
        <is>
          <t>PL 판매비와관리비</t>
        </is>
      </c>
      <c r="E6" s="27" t="n">
        <v>3125550277</v>
      </c>
      <c r="F6" s="28" t="n">
        <v>0</v>
      </c>
      <c r="G6" s="22" t="inlineStr">
        <is>
          <t>주27/표1 합계 3,125,550천원</t>
        </is>
      </c>
    </row>
    <row r="7" ht="26" customHeight="1">
      <c r="A7" s="26" t="n">
        <v>4</v>
      </c>
      <c r="B7" s="22" t="inlineStr">
        <is>
          <t>매출원가 — 주26 합계 vs PL</t>
        </is>
      </c>
      <c r="C7" s="27" t="n">
        <v>19674722</v>
      </c>
      <c r="D7" s="22" t="inlineStr">
        <is>
          <t>PL 매출원가</t>
        </is>
      </c>
      <c r="E7" s="27" t="n">
        <v>19674721789</v>
      </c>
      <c r="F7" s="28" t="n">
        <v>0</v>
      </c>
      <c r="G7" s="22" t="inlineStr">
        <is>
          <t>주26/표1 합계 19,674,722천원</t>
        </is>
      </c>
    </row>
    <row r="8" ht="26" customHeight="1">
      <c r="A8" s="26" t="n">
        <v>5</v>
      </c>
      <c r="B8" s="22" t="inlineStr">
        <is>
          <t>법인세비용 — 주19 vs PL</t>
        </is>
      </c>
      <c r="C8" s="27" t="n">
        <v>235114</v>
      </c>
      <c r="D8" s="22" t="inlineStr">
        <is>
          <t>PL 법인세비용</t>
        </is>
      </c>
      <c r="E8" s="27" t="n">
        <v>235114420</v>
      </c>
      <c r="F8" s="28" t="n">
        <v>0</v>
      </c>
      <c r="G8" s="22" t="inlineStr">
        <is>
          <t>주19/표1·표3 법인세비용 235,114천원</t>
        </is>
      </c>
    </row>
    <row r="9" ht="26" customHeight="1">
      <c r="A9" s="26" t="n">
        <v>6</v>
      </c>
      <c r="B9" s="22" t="inlineStr">
        <is>
          <t>법인세비용차감전순이익 — 주32 vs PL</t>
        </is>
      </c>
      <c r="C9" s="27" t="n">
        <v>2762564</v>
      </c>
      <c r="D9" s="22" t="inlineStr">
        <is>
          <t>PL 법인세비용차감전순이익</t>
        </is>
      </c>
      <c r="E9" s="27" t="n">
        <v>2762564480</v>
      </c>
      <c r="F9" s="28" t="n">
        <v>0</v>
      </c>
      <c r="G9" s="22" t="inlineStr">
        <is>
          <t>주32/표1 행0</t>
        </is>
      </c>
    </row>
    <row r="10" ht="26" customHeight="1">
      <c r="A10" s="26" t="n">
        <v>7</v>
      </c>
      <c r="B10" s="22" t="inlineStr">
        <is>
          <t>영업으로부터 창출된 현금 — 주32 vs CF</t>
        </is>
      </c>
      <c r="C10" s="27" t="n">
        <v>109355</v>
      </c>
      <c r="D10" s="22" t="inlineStr">
        <is>
          <t>CF 영업으로부터 창출된 현금흐름</t>
        </is>
      </c>
      <c r="E10" s="27" t="n">
        <v>109355005</v>
      </c>
      <c r="F10" s="28" t="n">
        <v>0</v>
      </c>
      <c r="G10" s="22" t="inlineStr">
        <is>
          <t>주32/표1 행31</t>
        </is>
      </c>
    </row>
    <row r="11" ht="26" customHeight="1">
      <c r="A11" s="26" t="n">
        <v>8</v>
      </c>
      <c r="B11" s="22" t="inlineStr">
        <is>
          <t>부채총계·자본총계 — 주4 부채비율 표 vs BS</t>
        </is>
      </c>
      <c r="C11" s="27" t="n">
        <v>8031678</v>
      </c>
      <c r="D11" s="22" t="inlineStr">
        <is>
          <t>BS 부채총계</t>
        </is>
      </c>
      <c r="E11" s="27" t="n">
        <v>8031678000</v>
      </c>
      <c r="F11" s="28" t="n">
        <v>0</v>
      </c>
      <c r="G11" s="22" t="inlineStr">
        <is>
          <t>자본(B) 19,680,714천원 = BS 자본총계 19,680,713,875원</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2"/>
  <sheetViews>
    <sheetView showGridLines="0" workbookViewId="0">
      <pane ySplit="3" topLeftCell="A4" activePane="bottomLeft" state="frozen"/>
      <selection pane="bottomLeft" activeCell="A1" sqref="A1"/>
    </sheetView>
  </sheetViews>
  <sheetFormatPr baseColWidth="8" defaultRowHeight="15"/>
  <cols>
    <col width="5" customWidth="1" min="1" max="1"/>
    <col width="26" customWidth="1" min="2" max="2"/>
    <col width="72" customWidth="1" min="3" max="3"/>
    <col width="40" customWidth="1" min="4" max="4"/>
    <col width="11" customWidth="1" min="5" max="5"/>
  </cols>
  <sheetData>
    <row r="1">
      <c r="A1" s="19" t="inlineStr">
        <is>
          <t>검증 완료 — 이상 없음</t>
        </is>
      </c>
    </row>
    <row r="3">
      <c r="A3" s="20" t="inlineStr">
        <is>
          <t>No</t>
        </is>
      </c>
      <c r="B3" s="20" t="inlineStr">
        <is>
          <t>검증 항목</t>
        </is>
      </c>
      <c r="C3" s="20" t="inlineStr">
        <is>
          <t>검증 내용</t>
        </is>
      </c>
      <c r="D3" s="20" t="inlineStr">
        <is>
          <t>대사 자료</t>
        </is>
      </c>
      <c r="E3" s="20" t="inlineStr">
        <is>
          <t>결과</t>
        </is>
      </c>
    </row>
    <row r="4" ht="30" customHeight="1">
      <c r="A4" s="26" t="n">
        <v>1</v>
      </c>
      <c r="B4" s="22" t="inlineStr">
        <is>
          <t>재무제표 계층 소계·총계 (BS·PL·CE·CF)</t>
        </is>
      </c>
      <c r="C4" s="22" t="inlineStr">
        <is>
          <t>유동자산·비유동자산·자산총계·부채총계·자본총계·부채및자본총계, 영업활동·투자활동·재무활동 현금흐름 등 338개 검증셀</t>
        </is>
      </c>
      <c r="D4" s="22" t="inlineStr">
        <is>
          <t>워크북 ■ 푸팅 검증</t>
        </is>
      </c>
      <c r="E4" s="29" t="inlineStr">
        <is>
          <t>차이 0</t>
        </is>
      </c>
    </row>
    <row r="5" ht="38.85748792270531" customHeight="1">
      <c r="A5" s="26" t="n">
        <v>2</v>
      </c>
      <c r="B5" s="22" t="inlineStr">
        <is>
          <t>표준 산식 20건</t>
        </is>
      </c>
      <c r="C5" s="22" t="inlineStr">
        <is>
          <t>매출총이익 = 매출 − 매출원가, 영업이익 = 매출총이익 − 판관비, 법인세비용차감전순이익 = 영업이익 + 금융수익 − 금융비용 + 기타영업외수익 − 기타영업외비용, 당기순이익 = 법인세차감전 − 법인세비용, 총포괄손익 = 당기순이익 + 기타포괄손익 (당·전기)</t>
        </is>
      </c>
      <c r="D5" s="22" t="inlineStr">
        <is>
          <t>워크북 ■ 산식 검증</t>
        </is>
      </c>
      <c r="E5" s="29" t="inlineStr">
        <is>
          <t>차이 0</t>
        </is>
      </c>
    </row>
    <row r="6" ht="30" customHeight="1">
      <c r="A6" s="26" t="n">
        <v>3</v>
      </c>
      <c r="B6" s="22" t="inlineStr">
        <is>
          <t>재무제표 간 크로스 3건</t>
        </is>
      </c>
      <c r="C6" s="22" t="inlineStr">
        <is>
          <t>CF 당기순이익 = PL, CF 기말 현금 = BS 현금및현금성자산, CE 당기말 총계 = BS 자본총계</t>
        </is>
      </c>
      <c r="D6" s="22" t="inlineStr">
        <is>
          <t>워크북 ■ 크로스 참조</t>
        </is>
      </c>
      <c r="E6" s="29" t="inlineStr">
        <is>
          <t>차이 0</t>
        </is>
      </c>
    </row>
    <row r="7" ht="30" customHeight="1">
      <c r="A7" s="26" t="n">
        <v>4</v>
      </c>
      <c r="B7" s="22" t="inlineStr">
        <is>
          <t>자본변동표 잔액행 검증</t>
        </is>
      </c>
      <c r="C7" s="22" t="inlineStr">
        <is>
          <t>전기말·당기말 = 기초 + 변동행 Σ (총포괄손익 합계행은 소계라 제외)</t>
        </is>
      </c>
      <c r="D7" s="22" t="inlineStr">
        <is>
          <t>워크북 CE 시트</t>
        </is>
      </c>
      <c r="E7" s="29" t="inlineStr">
        <is>
          <t>차이 0 (34개 검증셀)</t>
        </is>
      </c>
    </row>
    <row r="8" ht="30" customHeight="1">
      <c r="A8" s="26" t="n">
        <v>5</v>
      </c>
      <c r="B8" s="22" t="inlineStr">
        <is>
          <t>주석 표 합계·소계 235건</t>
        </is>
      </c>
      <c r="C8" s="22" t="inlineStr">
        <is>
          <t>주석 4·6·9·13·14·16·17·18·19·26·27·28·29·33·34 등 합계행 — 그룹합(유동 합계 = 매출채권 + 기타채권 소계) 포함</t>
        </is>
      </c>
      <c r="D8" s="22" t="inlineStr">
        <is>
          <t>tie_out 합계 검산 + 워크북 └ 푸팅검증</t>
        </is>
      </c>
      <c r="E8" s="29" t="inlineStr">
        <is>
          <t>불일치 0</t>
        </is>
      </c>
    </row>
    <row r="9" ht="40.75966183574879" customHeight="1">
      <c r="A9" s="26" t="n">
        <v>6</v>
      </c>
      <c r="B9" s="22" t="inlineStr">
        <is>
          <t>주석 ↔ 본문 크로스 27건</t>
        </is>
      </c>
      <c r="C9" s="22" t="inlineStr">
        <is>
          <t>현금·매출채권·기타채권·기타자산·재고·유형·무형·리스부채·매입채무·기타지급채무·기타유동부채·자본잉여금·이익잉여금 = BS / 수익·매출원가·판관비·금융수익·금융비용·기타영업외수익·비용·법인세비용·주당이익·법인세차감전 = PL / 영업창출현금 = CF / 부채비율표 = BS 총계</t>
        </is>
      </c>
      <c r="D9" s="22" t="inlineStr">
        <is>
          <t>04_structure.json xrefs</t>
        </is>
      </c>
      <c r="E9" s="29" t="inlineStr">
        <is>
          <t>차이 0 (천원 반올림 ±5,000원 이내)</t>
        </is>
      </c>
    </row>
    <row r="10" ht="53.8635265700483" customHeight="1">
      <c r="A10" s="26" t="n">
        <v>7</v>
      </c>
      <c r="B10" s="22" t="inlineStr">
        <is>
          <t>서술 검산 5건</t>
        </is>
      </c>
      <c r="C10" s="22" t="inlineStr">
        <is>
          <t>주당이익 211원 = 2,527,450,060 ÷ 12,000,000주, 배당성향 85.46% = 2,160,000 ÷ 2,527,450, 부채비율 40.8% = 8,031,678 ÷ 19,680,714, 유효세율 8.51% = 235,114 ÷ 2,762,564, 법인세비용 235,114 = 555,376 − 2,732 + 21,114 − 94,558 − 21,587 − 222,499</t>
        </is>
      </c>
      <c r="D10" s="22" t="inlineStr">
        <is>
          <t>워크북 서술검산 시트</t>
        </is>
      </c>
      <c r="E10" s="29" t="inlineStr">
        <is>
          <t>차이 0</t>
        </is>
      </c>
    </row>
    <row r="11" ht="30" customHeight="1">
      <c r="A11" s="26" t="n">
        <v>8</v>
      </c>
      <c r="B11" s="22" t="inlineStr">
        <is>
          <t>주4 표4 합계행 빈칸 (format_audit B)</t>
        </is>
      </c>
      <c r="C11" s="22" t="inlineStr">
        <is>
          <t>기대손실율 열의 합계 칸이 비어 있음</t>
        </is>
      </c>
      <c r="D11" s="22" t="inlineStr">
        <is>
          <t>주4/표4 행7 열1·4</t>
        </is>
      </c>
      <c r="E11" s="29" t="inlineStr">
        <is>
          <t>기각 — 비율 열은 합계 대상이 아니며 비우는 것이 관행</t>
        </is>
      </c>
    </row>
    <row r="12" ht="30" customHeight="1">
      <c r="A12" s="26" t="n">
        <v>9</v>
      </c>
      <c r="B12" s="22" t="inlineStr">
        <is>
          <t>감사의견·핵심감사사항</t>
        </is>
      </c>
      <c r="C12" s="22" t="inlineStr">
        <is>
          <t>적정의견, 핵심감사사항 1건(상품매출 기간귀속의 정확성 — 주석 2.17·7 참조)</t>
        </is>
      </c>
      <c r="D12" s="22" t="inlineStr">
        <is>
          <t>독립된 감사인의 감사보고서 본문</t>
        </is>
      </c>
      <c r="E12" s="29" t="inlineStr">
        <is>
          <t>본문 확인, 참조 주석 번호 존재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2026-10-12T13:46:32Z</dcterms:created>
  <dcterms:modified xmlns:dcterms="http://purl.org/dc/terms/" xmlns:xsi="http://www.w3.org/2001/XMLSchema-instance" xsi:type="dcterms:W3CDTF">2026-10-12T13:46:32Z</dcterms:modified>
</cp:coreProperties>
</file>